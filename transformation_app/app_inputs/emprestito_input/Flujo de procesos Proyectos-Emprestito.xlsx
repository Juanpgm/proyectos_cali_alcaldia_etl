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programing_workspace\api_dashboard_cali\transformation_app\app_inputs\emprestito_input\"/>
    </mc:Choice>
  </mc:AlternateContent>
  <xr:revisionPtr revIDLastSave="0" documentId="13_ncr:1_{0F2617CA-5BE0-43C0-9476-7E46CBDAD48A}" xr6:coauthVersionLast="47" xr6:coauthVersionMax="47" xr10:uidLastSave="{00000000-0000-0000-0000-000000000000}"/>
  <bookViews>
    <workbookView xWindow="-120" yWindow="-120" windowWidth="29040" windowHeight="15720" activeTab="1" xr2:uid="{F27F4687-8E82-4344-B147-1221259E873A}"/>
  </bookViews>
  <sheets>
    <sheet name="CDP" sheetId="2" r:id="rId1"/>
    <sheet name="CDP+VF" sheetId="5" r:id="rId2"/>
    <sheet name="VF Exp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2" l="1"/>
  <c r="N3" i="2"/>
  <c r="P2" i="2"/>
  <c r="O2" i="2"/>
  <c r="N2" i="2"/>
  <c r="E23" i="6"/>
  <c r="D23" i="6"/>
  <c r="F23" i="6" s="1"/>
  <c r="H22" i="6"/>
  <c r="I22" i="6" s="1"/>
  <c r="F22" i="6"/>
  <c r="H21" i="6"/>
  <c r="K21" i="6" s="1"/>
  <c r="G21" i="6"/>
  <c r="J21" i="6" s="1"/>
  <c r="F21" i="6"/>
  <c r="F20" i="6"/>
  <c r="F19" i="6"/>
  <c r="F18" i="6"/>
  <c r="F17" i="6"/>
  <c r="F16" i="6"/>
  <c r="F15" i="6"/>
  <c r="F14" i="6"/>
  <c r="F13" i="6"/>
  <c r="F12" i="6"/>
  <c r="H11" i="6"/>
  <c r="K11" i="6" s="1"/>
  <c r="G11" i="6"/>
  <c r="J11" i="6" s="1"/>
  <c r="F11" i="6"/>
  <c r="F10" i="6"/>
  <c r="F9" i="6"/>
  <c r="F8" i="6"/>
  <c r="F7" i="6"/>
  <c r="F6" i="6"/>
  <c r="F5" i="6"/>
  <c r="H4" i="6"/>
  <c r="G4" i="6"/>
  <c r="F4" i="6"/>
  <c r="F3" i="6"/>
  <c r="F2" i="6"/>
  <c r="L38" i="5"/>
  <c r="K38" i="5"/>
  <c r="J38" i="5"/>
  <c r="I38" i="5"/>
  <c r="H38" i="5"/>
  <c r="G38" i="5"/>
  <c r="K40" i="5"/>
  <c r="J40" i="5"/>
  <c r="F29" i="5"/>
  <c r="F30" i="5"/>
  <c r="F31" i="5"/>
  <c r="F32" i="5"/>
  <c r="F33" i="5"/>
  <c r="F34" i="5"/>
  <c r="F35" i="5"/>
  <c r="F36" i="5"/>
  <c r="F37" i="5"/>
  <c r="F38" i="5"/>
  <c r="F28" i="5"/>
  <c r="E40" i="5"/>
  <c r="D40" i="5"/>
  <c r="J39" i="5" s="1"/>
  <c r="H39" i="5"/>
  <c r="K39" i="5" s="1"/>
  <c r="F39" i="5"/>
  <c r="H27" i="5"/>
  <c r="K27" i="5" s="1"/>
  <c r="G27" i="5"/>
  <c r="J27" i="5" s="1"/>
  <c r="F27" i="5"/>
  <c r="F26" i="5"/>
  <c r="F25" i="5"/>
  <c r="F24" i="5"/>
  <c r="F23" i="5"/>
  <c r="H22" i="5"/>
  <c r="G22" i="5"/>
  <c r="J22" i="5" s="1"/>
  <c r="F22" i="5"/>
  <c r="F21" i="5"/>
  <c r="F20" i="5"/>
  <c r="F19" i="5"/>
  <c r="F18" i="5"/>
  <c r="F17" i="5"/>
  <c r="F16" i="5"/>
  <c r="F15" i="5"/>
  <c r="F14" i="5"/>
  <c r="F13" i="5"/>
  <c r="F12" i="5"/>
  <c r="K11" i="5"/>
  <c r="H11" i="5"/>
  <c r="G11" i="5"/>
  <c r="I11" i="5" s="1"/>
  <c r="F11" i="5"/>
  <c r="F10" i="5"/>
  <c r="F9" i="5"/>
  <c r="F8" i="5"/>
  <c r="F7" i="5"/>
  <c r="F6" i="5"/>
  <c r="F5" i="5"/>
  <c r="H4" i="5"/>
  <c r="G4" i="5"/>
  <c r="I4" i="5" s="1"/>
  <c r="F4" i="5"/>
  <c r="F3" i="5"/>
  <c r="F2" i="5"/>
  <c r="K29" i="2"/>
  <c r="L28" i="2"/>
  <c r="K28" i="2"/>
  <c r="J28" i="2"/>
  <c r="I28" i="2"/>
  <c r="K27" i="2"/>
  <c r="J27" i="2"/>
  <c r="I27" i="2"/>
  <c r="L22" i="2"/>
  <c r="J22" i="2"/>
  <c r="I22" i="2"/>
  <c r="L11" i="2"/>
  <c r="I11" i="2"/>
  <c r="H4" i="2"/>
  <c r="I4" i="2" s="1"/>
  <c r="G4" i="2"/>
  <c r="F3" i="2"/>
  <c r="F4" i="2"/>
  <c r="D29" i="2"/>
  <c r="F29" i="2" s="1"/>
  <c r="H27" i="2"/>
  <c r="G27" i="2"/>
  <c r="H22" i="2"/>
  <c r="G22" i="2"/>
  <c r="H11" i="2"/>
  <c r="G11" i="2"/>
  <c r="E29" i="2"/>
  <c r="F23" i="2"/>
  <c r="F24" i="2"/>
  <c r="F25" i="2"/>
  <c r="F26" i="2"/>
  <c r="F27" i="2"/>
  <c r="F28" i="2"/>
  <c r="F13" i="2"/>
  <c r="F14" i="2"/>
  <c r="F15" i="2"/>
  <c r="F16" i="2"/>
  <c r="F17" i="2"/>
  <c r="F18" i="2"/>
  <c r="F19" i="2"/>
  <c r="F20" i="2"/>
  <c r="F21" i="2"/>
  <c r="F22" i="2"/>
  <c r="F12" i="2"/>
  <c r="F6" i="2"/>
  <c r="F7" i="2"/>
  <c r="F8" i="2"/>
  <c r="F9" i="2"/>
  <c r="F10" i="2"/>
  <c r="F11" i="2"/>
  <c r="F5" i="2"/>
  <c r="F2" i="2"/>
  <c r="H28" i="2"/>
  <c r="J22" i="6" l="1"/>
  <c r="J23" i="6"/>
  <c r="I11" i="6"/>
  <c r="I4" i="6"/>
  <c r="I21" i="6"/>
  <c r="L21" i="6"/>
  <c r="L11" i="6"/>
  <c r="K22" i="6"/>
  <c r="K23" i="6" s="1"/>
  <c r="L39" i="5"/>
  <c r="I22" i="5"/>
  <c r="I39" i="5"/>
  <c r="J11" i="5"/>
  <c r="L11" i="5"/>
  <c r="I27" i="5"/>
  <c r="F40" i="5"/>
  <c r="K22" i="5"/>
  <c r="L22" i="5" s="1"/>
  <c r="K11" i="2"/>
  <c r="K22" i="2"/>
  <c r="J11" i="2"/>
  <c r="L22" i="6" l="1"/>
  <c r="J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1" authorId="0" shapeId="0" xr:uid="{381CC031-B6A1-4801-9CB9-C4338DC1980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columna se consignaron los dias habiles para cada actividad </t>
        </r>
      </text>
    </comment>
    <comment ref="E1" authorId="0" shapeId="0" xr:uid="{6EEA9307-309D-4C5D-89A9-6A868953416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columna esta los días habiles reales que toma la actividad en ejecutarse</t>
        </r>
      </text>
    </comment>
    <comment ref="F1" authorId="0" shapeId="0" xr:uid="{D7B2A1C0-8D1B-4CB2-A64C-BE8CBB11476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 alerta es la diferencia de días habiles planeados menos dias habiles reales. En caso de dar negativo hay un atraso </t>
        </r>
      </text>
    </comment>
    <comment ref="G1" authorId="0" shapeId="0" xr:uid="{D5178845-9C02-4267-AA01-4C0950F2766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columna se consigna la sumatoria de días habiles de la etapa planeados</t>
        </r>
      </text>
    </comment>
    <comment ref="H1" authorId="0" shapeId="0" xr:uid="{843108B2-5D2F-429E-8767-A9F1212632F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columna se consignan los días habiles reales causados para lograr la etapa</t>
        </r>
      </text>
    </comment>
    <comment ref="I1" authorId="0" shapeId="0" xr:uid="{3718EF5B-09FD-4F44-9BC3-EBAFCD72B7D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 alerta es la diferencia de días habiles planeados menos dias habiles reales. En caso de dar negativo hay un atraso </t>
        </r>
      </text>
    </comment>
    <comment ref="J1" authorId="0" shapeId="0" xr:uid="{89F42194-93ED-4AF4-975A-2EC341B9C9A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coumna esta el peso poderado en tiempo (días habiles) de toda la etapa sobre el tiempo total del proceso</t>
        </r>
      </text>
    </comment>
    <comment ref="K1" authorId="0" shapeId="0" xr:uid="{51F53027-C92A-4554-8A8D-29B49D63943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columna esta el peso del proceso real dependiendo de los dias ejecutados en el proceso</t>
        </r>
      </text>
    </comment>
    <comment ref="L1" authorId="0" shapeId="0" xr:uid="{2BCED185-95E5-47D3-BF6A-024087F80BC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 alerta es la diferencia de días habiles planeados menos dias habiles reales. En caso de dar negativo hay un atraso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1" authorId="0" shapeId="0" xr:uid="{A252E4DF-1FE1-47EE-A696-3348D305D66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columna se consignaron los dias habiles para cada actividad </t>
        </r>
      </text>
    </comment>
    <comment ref="E1" authorId="0" shapeId="0" xr:uid="{32E8D4B7-C063-4AA7-ADA3-8AF918C4539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columna esta los días habiles reales que toma la actividad en ejecutarse</t>
        </r>
      </text>
    </comment>
    <comment ref="F1" authorId="0" shapeId="0" xr:uid="{19CE1337-1C79-4875-B03B-0A7E35933F9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 alerta es la diferencia de días habiles planeados menos dias habiles reales. En caso de dar negativo hay un atraso </t>
        </r>
      </text>
    </comment>
    <comment ref="G1" authorId="0" shapeId="0" xr:uid="{0E301525-100E-4C21-8F62-DFA832F0BD1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columna se consigna la sumatoria de días habiles de la etapa planeados</t>
        </r>
      </text>
    </comment>
    <comment ref="H1" authorId="0" shapeId="0" xr:uid="{16AF0F0F-C9DF-4094-9BA8-466AD4712B3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columna se consignan los días habiles reales causados para lograr la etapa</t>
        </r>
      </text>
    </comment>
    <comment ref="I1" authorId="0" shapeId="0" xr:uid="{5DC916E0-31E9-40EB-A56B-3EF3232D3DE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 alerta es la diferencia de días habiles planeados menos dias habiles reales. En caso de dar negativo hay un atraso </t>
        </r>
      </text>
    </comment>
    <comment ref="J1" authorId="0" shapeId="0" xr:uid="{3E3FE5A4-DC90-43BF-8B3E-C7339E8996E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coumna esta el peso poderado en tiempo (días habiles) de toda la etapa sobre el tiempo total del proceso</t>
        </r>
      </text>
    </comment>
    <comment ref="K1" authorId="0" shapeId="0" xr:uid="{117237DD-251A-40D0-B2EF-775A9DBD55E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columna esta el peso del proceso real dependiendo de los dias ejecutados en el proceso</t>
        </r>
      </text>
    </comment>
    <comment ref="L1" authorId="0" shapeId="0" xr:uid="{0200AC7F-6BCD-4123-B652-85071985A3A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 alerta es la diferencia de días habiles planeados menos dias habiles reales. En caso de dar negativo hay un atraso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1" authorId="0" shapeId="0" xr:uid="{9A6BBA9C-8D49-4D62-A341-0C8D8C89995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columna se consignaron los dias habiles para cada actividad </t>
        </r>
      </text>
    </comment>
    <comment ref="E1" authorId="0" shapeId="0" xr:uid="{87924568-98FA-4F94-9115-5EC08C3B865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columna esta los días habiles reales que toma la actividad en ejecutarse</t>
        </r>
      </text>
    </comment>
    <comment ref="F1" authorId="0" shapeId="0" xr:uid="{1624D7B1-3CC7-497B-8185-B12B8749284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 alerta es la diferencia de días habiles planeados menos dias habiles reales. En caso de dar negativo hay un atraso </t>
        </r>
      </text>
    </comment>
    <comment ref="G1" authorId="0" shapeId="0" xr:uid="{AA008D86-8394-46D8-A557-792FDA49ACE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columna se consigna la sumatoria de días habiles de la etapa planeados</t>
        </r>
      </text>
    </comment>
    <comment ref="H1" authorId="0" shapeId="0" xr:uid="{C12F6B59-4512-46F7-99B0-45C9BD78476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columna se consignan los días habiles reales causados para lograr la etapa</t>
        </r>
      </text>
    </comment>
    <comment ref="I1" authorId="0" shapeId="0" xr:uid="{3AB73D4B-7440-42AB-84B6-394606C8A0D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 alerta es la diferencia de días habiles planeados menos dias habiles reales. En caso de dar negativo hay un atraso </t>
        </r>
      </text>
    </comment>
    <comment ref="J1" authorId="0" shapeId="0" xr:uid="{EA31A6C3-28F1-45F9-9B77-44C356445B9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coumna esta el peso poderado en tiempo (días habiles) de toda la etapa sobre el tiempo total del proceso</t>
        </r>
      </text>
    </comment>
    <comment ref="K1" authorId="0" shapeId="0" xr:uid="{16D4B4CC-EBB3-45C7-9121-0EC15D99CF2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 esta columna esta el peso del proceso real dependiendo de los dias ejecutados en el proceso</t>
        </r>
      </text>
    </comment>
    <comment ref="L1" authorId="0" shapeId="0" xr:uid="{EC38FF5A-6456-46B7-BE8D-D7B822A5FB7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 alerta es la diferencia de días habiles planeados menos dias habiles reales. En caso de dar negativo hay un atraso </t>
        </r>
      </text>
    </comment>
  </commentList>
</comments>
</file>

<file path=xl/sharedStrings.xml><?xml version="1.0" encoding="utf-8"?>
<sst xmlns="http://schemas.openxmlformats.org/spreadsheetml/2006/main" count="301" uniqueCount="71">
  <si>
    <t>Elaborar el contrato y dar vistos buenos de Hacienda</t>
  </si>
  <si>
    <t xml:space="preserve">Enviar contratos para visto bueno en DACP. </t>
  </si>
  <si>
    <t>Enviar contratos para visto bueno en Jurídica</t>
  </si>
  <si>
    <t>Enviar contratos a Gobierno para firma del Alcalde</t>
  </si>
  <si>
    <t>Subir contratos firmados por el Alcalde al SECOP</t>
  </si>
  <si>
    <t>Enviar documentos requeridos al proceso Gestión Jurídica. Se remiten mediante oficio para realizar el registro del contrato de empréstito ante el Ministerio de Hacienda y Crédito Público. El proceso MAJA01.01-GESTIÓN JURÍDICA PÚBLICA gestiona la firma del</t>
  </si>
  <si>
    <t>Enviar documentos a la Contraloría para hacer el registro de Contrato. El contrato de empréstito y demás documentos, se remiten a la Contraloría General de la República, vía correo electrónico</t>
  </si>
  <si>
    <t>Adicionar recursos de capital en el presupuesto (CONCEJO DISTRITAL)</t>
  </si>
  <si>
    <t>Expedición de acuerdo adición de recursos</t>
  </si>
  <si>
    <t>Etapa</t>
  </si>
  <si>
    <t>Viabilidad proyectos</t>
  </si>
  <si>
    <t>Carta de Viabilidad a Hacienda</t>
  </si>
  <si>
    <t>Formulación de proyecto (BP)</t>
  </si>
  <si>
    <t>Viabilidad de Planeación para Banco Financiero</t>
  </si>
  <si>
    <t>Banco Financiero</t>
  </si>
  <si>
    <t>Tramite Incorporación recursos - Concejo</t>
  </si>
  <si>
    <t>Tramite Incorporación recursos -  Concejo</t>
  </si>
  <si>
    <t>Planeación envia correo para informar # de acuerdo a secretarías</t>
  </si>
  <si>
    <t>Remite a Hacienda la incporporación de recursos</t>
  </si>
  <si>
    <t>Elabora el acto administrativo - elaboración de decretos por organismo</t>
  </si>
  <si>
    <t>Revisa el acto administrativo - elaboración de decretos por organismos</t>
  </si>
  <si>
    <t>Revisa el acto administrativa - elaboración de decretos por organismo</t>
  </si>
  <si>
    <t>Proceso firma Alcalde</t>
  </si>
  <si>
    <t xml:space="preserve">Oficialización y remite número </t>
  </si>
  <si>
    <t xml:space="preserve">Contabilización de recursos </t>
  </si>
  <si>
    <t>Tramite incorporación recursos - Concejo</t>
  </si>
  <si>
    <t>Actividad</t>
  </si>
  <si>
    <t>Solicitud de PAC (Plan anual de caja)</t>
  </si>
  <si>
    <t>Asignación PAC</t>
  </si>
  <si>
    <t>Los organismos expiden CDP</t>
  </si>
  <si>
    <t>Pre inscripción PAA</t>
  </si>
  <si>
    <t>Necesita CDP, VF - Objeto de delegación</t>
  </si>
  <si>
    <t>Publicación</t>
  </si>
  <si>
    <t>Tramite para generación CDP</t>
  </si>
  <si>
    <t>Tramite para generación Vigencia Futura</t>
  </si>
  <si>
    <t>Elaboración exposición de motivos y proyecto de acuerdo</t>
  </si>
  <si>
    <t>Comfis / Comité de viabilidad</t>
  </si>
  <si>
    <t>Radicación en el Concejo</t>
  </si>
  <si>
    <t>Aprobación y expedición de acuerdo</t>
  </si>
  <si>
    <t>Solicitud de certificado de Vigencia Futura</t>
  </si>
  <si>
    <t>Emisión Vigencia Futura</t>
  </si>
  <si>
    <t>Incorporay modifica su ficha BP</t>
  </si>
  <si>
    <t>Recopialción documentos soporte</t>
  </si>
  <si>
    <t>Actor</t>
  </si>
  <si>
    <t>Secretaría</t>
  </si>
  <si>
    <t>Planeación</t>
  </si>
  <si>
    <t>Hacienda</t>
  </si>
  <si>
    <t>DACP</t>
  </si>
  <si>
    <t>Juridica</t>
  </si>
  <si>
    <t>Gobierno</t>
  </si>
  <si>
    <t>Concejo</t>
  </si>
  <si>
    <t>Secretaría / Planeación</t>
  </si>
  <si>
    <t>Jurídica</t>
  </si>
  <si>
    <t>Oficialía</t>
  </si>
  <si>
    <t>Tesorería</t>
  </si>
  <si>
    <t>Comité PAA</t>
  </si>
  <si>
    <t xml:space="preserve">Secretaría /Planeación </t>
  </si>
  <si>
    <t>Planeación, Hacienda, Contraatación, Jurídica, Gobierno</t>
  </si>
  <si>
    <t>Sumatoria de tiempo por etapa</t>
  </si>
  <si>
    <t>Peso en el proceso</t>
  </si>
  <si>
    <t>Dias habiles planeados</t>
  </si>
  <si>
    <t>Días habiles reales</t>
  </si>
  <si>
    <t>Sumatoria de tiempo real por etapa</t>
  </si>
  <si>
    <t>Alerta</t>
  </si>
  <si>
    <t>Total</t>
  </si>
  <si>
    <t>Peso en el proceso real</t>
  </si>
  <si>
    <t>f.inicio</t>
  </si>
  <si>
    <t>f.fin</t>
  </si>
  <si>
    <t>f.inicio_real</t>
  </si>
  <si>
    <t>f.fin_real</t>
  </si>
  <si>
    <t>Remite a Hacienda la incorporación de recursos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</si>
</sst>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rgb="FFFF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auto="1"/>
      </left>
      <right/>
      <top style="medium">
        <color auto="1"/>
      </top>
      <bottom style="thick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3" xfId="0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 applyAlignment="1">
      <alignment horizontal="center" vertical="top"/>
    </xf>
    <xf numFmtId="0" fontId="0" fillId="0" borderId="3" xfId="0" applyBorder="1"/>
    <xf numFmtId="0" fontId="0" fillId="0" borderId="2" xfId="0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6" xfId="0" applyBorder="1"/>
    <xf numFmtId="2" fontId="0" fillId="0" borderId="2" xfId="0" applyNumberFormat="1" applyBorder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0" fontId="0" fillId="0" borderId="7" xfId="0" applyBorder="1" applyAlignment="1">
      <alignment wrapText="1"/>
    </xf>
    <xf numFmtId="0" fontId="2" fillId="0" borderId="7" xfId="0" applyFont="1" applyBorder="1" applyAlignment="1">
      <alignment vertical="center" wrapText="1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wrapText="1"/>
    </xf>
    <xf numFmtId="1" fontId="0" fillId="0" borderId="2" xfId="0" applyNumberFormat="1" applyBorder="1" applyAlignment="1">
      <alignment horizontal="center" vertical="top"/>
    </xf>
    <xf numFmtId="1" fontId="0" fillId="0" borderId="8" xfId="0" applyNumberFormat="1" applyBorder="1" applyAlignment="1">
      <alignment wrapText="1"/>
    </xf>
    <xf numFmtId="2" fontId="0" fillId="0" borderId="1" xfId="0" applyNumberFormat="1" applyBorder="1" applyAlignment="1">
      <alignment horizontal="center" vertical="top"/>
    </xf>
    <xf numFmtId="14" fontId="0" fillId="0" borderId="0" xfId="0" applyNumberFormat="1"/>
    <xf numFmtId="0" fontId="1" fillId="3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BB2B-2811-461A-921B-A81B4259D282}">
  <dimension ref="A1:P29"/>
  <sheetViews>
    <sheetView zoomScale="85" zoomScaleNormal="85" workbookViewId="0">
      <selection activeCell="B3" sqref="B3"/>
    </sheetView>
  </sheetViews>
  <sheetFormatPr baseColWidth="10" defaultRowHeight="15" x14ac:dyDescent="0.25"/>
  <cols>
    <col min="2" max="2" width="34.5703125" customWidth="1"/>
    <col min="6" max="6" width="5.85546875" bestFit="1" customWidth="1"/>
    <col min="8" max="8" width="13.5703125" customWidth="1"/>
    <col min="9" max="9" width="5.85546875" bestFit="1" customWidth="1"/>
    <col min="10" max="10" width="12.7109375" customWidth="1"/>
    <col min="11" max="11" width="14.42578125" customWidth="1"/>
    <col min="12" max="12" width="5.85546875" bestFit="1" customWidth="1"/>
  </cols>
  <sheetData>
    <row r="1" spans="1:16" ht="50.1" customHeight="1" thickBot="1" x14ac:dyDescent="0.3">
      <c r="A1" s="4" t="s">
        <v>9</v>
      </c>
      <c r="B1" s="4" t="s">
        <v>26</v>
      </c>
      <c r="C1" s="4" t="s">
        <v>43</v>
      </c>
      <c r="D1" s="5" t="s">
        <v>60</v>
      </c>
      <c r="E1" s="5" t="s">
        <v>61</v>
      </c>
      <c r="F1" s="5" t="s">
        <v>63</v>
      </c>
      <c r="G1" s="5" t="s">
        <v>58</v>
      </c>
      <c r="H1" s="5" t="s">
        <v>62</v>
      </c>
      <c r="I1" s="5" t="s">
        <v>63</v>
      </c>
      <c r="J1" s="5" t="s">
        <v>59</v>
      </c>
      <c r="K1" s="5" t="s">
        <v>65</v>
      </c>
      <c r="L1" s="5" t="s">
        <v>63</v>
      </c>
      <c r="M1" s="28" t="s">
        <v>66</v>
      </c>
      <c r="N1" s="28" t="s">
        <v>67</v>
      </c>
      <c r="O1" s="28" t="s">
        <v>68</v>
      </c>
      <c r="P1" s="28" t="s">
        <v>69</v>
      </c>
    </row>
    <row r="2" spans="1:16" ht="30.75" thickBot="1" x14ac:dyDescent="0.3">
      <c r="A2" s="1" t="s">
        <v>10</v>
      </c>
      <c r="B2" s="6" t="s">
        <v>12</v>
      </c>
      <c r="C2" s="6" t="s">
        <v>44</v>
      </c>
      <c r="D2" s="3">
        <v>60</v>
      </c>
      <c r="E2" s="3">
        <v>30</v>
      </c>
      <c r="F2" s="3">
        <f>D2-E2</f>
        <v>30</v>
      </c>
      <c r="G2" s="3"/>
      <c r="H2" s="7"/>
      <c r="I2" s="7"/>
      <c r="J2" s="7"/>
      <c r="K2" s="7"/>
      <c r="L2" s="7"/>
      <c r="M2" s="27">
        <v>45802</v>
      </c>
      <c r="N2" s="27">
        <f>M2+D2</f>
        <v>45862</v>
      </c>
      <c r="O2" s="27">
        <f>M2</f>
        <v>45802</v>
      </c>
      <c r="P2" s="27">
        <f>O2+E2</f>
        <v>45832</v>
      </c>
    </row>
    <row r="3" spans="1:16" ht="30.75" thickBot="1" x14ac:dyDescent="0.3">
      <c r="A3" s="1" t="s">
        <v>10</v>
      </c>
      <c r="B3" s="6" t="s">
        <v>13</v>
      </c>
      <c r="C3" s="6" t="s">
        <v>45</v>
      </c>
      <c r="D3" s="3">
        <v>60</v>
      </c>
      <c r="E3" s="3">
        <v>60</v>
      </c>
      <c r="F3" s="3">
        <f t="shared" ref="F3:F4" si="0">D3-E3</f>
        <v>0</v>
      </c>
      <c r="G3" s="3"/>
      <c r="H3" s="7"/>
      <c r="I3" s="7"/>
      <c r="J3" s="7"/>
      <c r="K3" s="7"/>
      <c r="L3" s="7"/>
      <c r="M3" s="27">
        <f>N2</f>
        <v>45862</v>
      </c>
      <c r="N3" s="27">
        <f>M3+D3</f>
        <v>45922</v>
      </c>
    </row>
    <row r="4" spans="1:16" ht="30.75" thickBot="1" x14ac:dyDescent="0.3">
      <c r="A4" s="12" t="s">
        <v>10</v>
      </c>
      <c r="B4" s="13" t="s">
        <v>11</v>
      </c>
      <c r="C4" s="13" t="s">
        <v>45</v>
      </c>
      <c r="D4" s="14">
        <v>1</v>
      </c>
      <c r="E4" s="14">
        <v>1</v>
      </c>
      <c r="F4" s="14">
        <f t="shared" si="0"/>
        <v>0</v>
      </c>
      <c r="G4" s="14">
        <f>SUM(D2:D4)</f>
        <v>121</v>
      </c>
      <c r="H4" s="14">
        <f>SUM(E2:E4)</f>
        <v>91</v>
      </c>
      <c r="I4" s="14">
        <f>G4-H4</f>
        <v>30</v>
      </c>
      <c r="J4" s="14"/>
      <c r="K4" s="14"/>
      <c r="L4" s="14"/>
    </row>
    <row r="5" spans="1:16" ht="31.5" thickTop="1" thickBot="1" x14ac:dyDescent="0.3">
      <c r="A5" s="8" t="s">
        <v>14</v>
      </c>
      <c r="B5" s="9" t="s">
        <v>0</v>
      </c>
      <c r="C5" s="9" t="s">
        <v>46</v>
      </c>
      <c r="D5" s="10">
        <v>5</v>
      </c>
      <c r="E5" s="10">
        <v>5</v>
      </c>
      <c r="F5" s="10">
        <f>D5-E5</f>
        <v>0</v>
      </c>
      <c r="G5" s="10"/>
      <c r="H5" s="11"/>
      <c r="I5" s="11"/>
      <c r="J5" s="11"/>
      <c r="K5" s="11"/>
      <c r="L5" s="11"/>
    </row>
    <row r="6" spans="1:16" ht="30.75" thickBot="1" x14ac:dyDescent="0.3">
      <c r="A6" s="1" t="s">
        <v>14</v>
      </c>
      <c r="B6" s="6" t="s">
        <v>1</v>
      </c>
      <c r="C6" s="6" t="s">
        <v>47</v>
      </c>
      <c r="D6" s="3">
        <v>1</v>
      </c>
      <c r="E6" s="3">
        <v>1</v>
      </c>
      <c r="F6" s="3">
        <f t="shared" ref="F6:F11" si="1">D6-E6</f>
        <v>0</v>
      </c>
      <c r="G6" s="3"/>
      <c r="H6" s="7"/>
      <c r="I6" s="7"/>
      <c r="J6" s="7"/>
      <c r="K6" s="7"/>
      <c r="L6" s="7"/>
    </row>
    <row r="7" spans="1:16" ht="30.75" thickBot="1" x14ac:dyDescent="0.3">
      <c r="A7" s="1" t="s">
        <v>14</v>
      </c>
      <c r="B7" s="6" t="s">
        <v>2</v>
      </c>
      <c r="C7" s="6" t="s">
        <v>48</v>
      </c>
      <c r="D7" s="3">
        <v>1</v>
      </c>
      <c r="E7" s="3">
        <v>1</v>
      </c>
      <c r="F7" s="3">
        <f t="shared" si="1"/>
        <v>0</v>
      </c>
      <c r="G7" s="3"/>
      <c r="H7" s="7"/>
      <c r="I7" s="7"/>
      <c r="J7" s="7"/>
      <c r="K7" s="7"/>
      <c r="L7" s="7"/>
    </row>
    <row r="8" spans="1:16" ht="30.75" thickBot="1" x14ac:dyDescent="0.3">
      <c r="A8" s="1" t="s">
        <v>14</v>
      </c>
      <c r="B8" s="6" t="s">
        <v>3</v>
      </c>
      <c r="C8" s="6" t="s">
        <v>49</v>
      </c>
      <c r="D8" s="3">
        <v>1</v>
      </c>
      <c r="E8" s="3">
        <v>1</v>
      </c>
      <c r="F8" s="3">
        <f t="shared" si="1"/>
        <v>0</v>
      </c>
      <c r="G8" s="3"/>
      <c r="H8" s="7"/>
      <c r="I8" s="7"/>
      <c r="J8" s="7"/>
      <c r="K8" s="7"/>
      <c r="L8" s="7"/>
    </row>
    <row r="9" spans="1:16" ht="30.75" thickBot="1" x14ac:dyDescent="0.3">
      <c r="A9" s="1" t="s">
        <v>14</v>
      </c>
      <c r="B9" s="6" t="s">
        <v>4</v>
      </c>
      <c r="C9" s="6" t="s">
        <v>49</v>
      </c>
      <c r="D9" s="3">
        <v>1</v>
      </c>
      <c r="E9" s="3">
        <v>1</v>
      </c>
      <c r="F9" s="3">
        <f t="shared" si="1"/>
        <v>0</v>
      </c>
      <c r="G9" s="3"/>
      <c r="H9" s="7"/>
      <c r="I9" s="7"/>
      <c r="J9" s="7"/>
      <c r="K9" s="7"/>
      <c r="L9" s="7"/>
    </row>
    <row r="10" spans="1:16" ht="102" customHeight="1" thickBot="1" x14ac:dyDescent="0.3">
      <c r="A10" s="1" t="s">
        <v>14</v>
      </c>
      <c r="B10" s="6" t="s">
        <v>5</v>
      </c>
      <c r="C10" s="6" t="s">
        <v>46</v>
      </c>
      <c r="D10" s="3">
        <v>5</v>
      </c>
      <c r="E10" s="3">
        <v>5</v>
      </c>
      <c r="F10" s="3">
        <f t="shared" si="1"/>
        <v>0</v>
      </c>
      <c r="G10" s="16"/>
      <c r="H10" s="16"/>
      <c r="I10" s="16"/>
      <c r="J10" s="16"/>
      <c r="K10" s="16"/>
      <c r="L10" s="16"/>
    </row>
    <row r="11" spans="1:16" ht="90.75" thickBot="1" x14ac:dyDescent="0.3">
      <c r="A11" s="12" t="s">
        <v>14</v>
      </c>
      <c r="B11" s="13" t="s">
        <v>6</v>
      </c>
      <c r="C11" s="13" t="s">
        <v>46</v>
      </c>
      <c r="D11" s="14">
        <v>5</v>
      </c>
      <c r="E11" s="14">
        <v>5</v>
      </c>
      <c r="F11" s="15">
        <f t="shared" si="1"/>
        <v>0</v>
      </c>
      <c r="G11" s="14">
        <f>SUM(D5:D11)</f>
        <v>19</v>
      </c>
      <c r="H11" s="14">
        <f>SUM(E5:E11)</f>
        <v>19</v>
      </c>
      <c r="I11" s="15">
        <f>G11-H11</f>
        <v>0</v>
      </c>
      <c r="J11" s="18">
        <f>G11/D29*100</f>
        <v>39.583333333333329</v>
      </c>
      <c r="K11" s="18">
        <f>H11/D29*100</f>
        <v>39.583333333333329</v>
      </c>
      <c r="L11" s="14">
        <f>J11-K11</f>
        <v>0</v>
      </c>
    </row>
    <row r="12" spans="1:16" ht="61.5" thickTop="1" thickBot="1" x14ac:dyDescent="0.3">
      <c r="A12" s="8" t="s">
        <v>15</v>
      </c>
      <c r="B12" s="9" t="s">
        <v>7</v>
      </c>
      <c r="C12" s="9" t="s">
        <v>49</v>
      </c>
      <c r="D12" s="10">
        <v>1</v>
      </c>
      <c r="E12" s="10">
        <v>1</v>
      </c>
      <c r="F12" s="10">
        <f>D12-E12</f>
        <v>0</v>
      </c>
      <c r="G12" s="10"/>
      <c r="H12" s="11"/>
      <c r="I12" s="11"/>
      <c r="J12" s="7"/>
      <c r="K12" s="7"/>
      <c r="L12" s="11"/>
    </row>
    <row r="13" spans="1:16" ht="60.75" thickBot="1" x14ac:dyDescent="0.3">
      <c r="A13" s="1" t="s">
        <v>16</v>
      </c>
      <c r="B13" s="6" t="s">
        <v>8</v>
      </c>
      <c r="C13" s="6" t="s">
        <v>50</v>
      </c>
      <c r="D13" s="3">
        <v>8</v>
      </c>
      <c r="E13" s="3">
        <v>8</v>
      </c>
      <c r="F13" s="3">
        <f t="shared" ref="F13:F28" si="2">D13-E13</f>
        <v>0</v>
      </c>
      <c r="G13" s="3"/>
      <c r="H13" s="7"/>
      <c r="I13" s="7"/>
      <c r="J13" s="7"/>
      <c r="K13" s="7"/>
      <c r="L13" s="7"/>
    </row>
    <row r="14" spans="1:16" ht="60.75" thickBot="1" x14ac:dyDescent="0.3">
      <c r="A14" s="1" t="s">
        <v>25</v>
      </c>
      <c r="B14" s="6" t="s">
        <v>17</v>
      </c>
      <c r="C14" s="6" t="s">
        <v>45</v>
      </c>
      <c r="D14" s="3">
        <v>1</v>
      </c>
      <c r="E14" s="3">
        <v>1</v>
      </c>
      <c r="F14" s="3">
        <f t="shared" si="2"/>
        <v>0</v>
      </c>
      <c r="G14" s="3"/>
      <c r="H14" s="7"/>
      <c r="I14" s="7"/>
      <c r="J14" s="7"/>
      <c r="K14" s="7"/>
      <c r="L14" s="7"/>
    </row>
    <row r="15" spans="1:16" ht="60.75" thickBot="1" x14ac:dyDescent="0.3">
      <c r="A15" s="1" t="s">
        <v>25</v>
      </c>
      <c r="B15" s="6" t="s">
        <v>41</v>
      </c>
      <c r="C15" s="6" t="s">
        <v>51</v>
      </c>
      <c r="D15" s="3">
        <v>3</v>
      </c>
      <c r="E15" s="3">
        <v>3</v>
      </c>
      <c r="F15" s="3">
        <f t="shared" si="2"/>
        <v>0</v>
      </c>
      <c r="G15" s="3"/>
      <c r="H15" s="7"/>
      <c r="I15" s="7"/>
      <c r="J15" s="7"/>
      <c r="K15" s="7"/>
      <c r="L15" s="7"/>
    </row>
    <row r="16" spans="1:16" ht="60.75" thickBot="1" x14ac:dyDescent="0.3">
      <c r="A16" s="1" t="s">
        <v>25</v>
      </c>
      <c r="B16" s="6" t="s">
        <v>18</v>
      </c>
      <c r="C16" s="6" t="s">
        <v>45</v>
      </c>
      <c r="D16" s="3">
        <v>1</v>
      </c>
      <c r="E16" s="3">
        <v>1</v>
      </c>
      <c r="F16" s="3">
        <f t="shared" si="2"/>
        <v>0</v>
      </c>
      <c r="G16" s="3"/>
      <c r="H16" s="7"/>
      <c r="I16" s="7"/>
      <c r="J16" s="7"/>
      <c r="K16" s="7"/>
      <c r="L16" s="7"/>
    </row>
    <row r="17" spans="1:12" ht="60.75" thickBot="1" x14ac:dyDescent="0.3">
      <c r="A17" s="1" t="s">
        <v>25</v>
      </c>
      <c r="B17" s="6" t="s">
        <v>19</v>
      </c>
      <c r="C17" s="6" t="s">
        <v>46</v>
      </c>
      <c r="D17" s="3">
        <v>1</v>
      </c>
      <c r="E17" s="3">
        <v>1</v>
      </c>
      <c r="F17" s="3">
        <f t="shared" si="2"/>
        <v>0</v>
      </c>
      <c r="G17" s="3"/>
      <c r="H17" s="7"/>
      <c r="I17" s="7"/>
      <c r="J17" s="7"/>
      <c r="K17" s="7"/>
      <c r="L17" s="7"/>
    </row>
    <row r="18" spans="1:12" ht="60.75" thickBot="1" x14ac:dyDescent="0.3">
      <c r="A18" s="1" t="s">
        <v>25</v>
      </c>
      <c r="B18" s="6" t="s">
        <v>20</v>
      </c>
      <c r="C18" s="6" t="s">
        <v>52</v>
      </c>
      <c r="D18" s="3">
        <v>1</v>
      </c>
      <c r="E18" s="3">
        <v>1</v>
      </c>
      <c r="F18" s="3">
        <f t="shared" si="2"/>
        <v>0</v>
      </c>
      <c r="G18" s="3"/>
      <c r="H18" s="7"/>
      <c r="I18" s="7"/>
      <c r="J18" s="7"/>
      <c r="K18" s="7"/>
      <c r="L18" s="7"/>
    </row>
    <row r="19" spans="1:12" ht="60.75" thickBot="1" x14ac:dyDescent="0.3">
      <c r="A19" s="1" t="s">
        <v>25</v>
      </c>
      <c r="B19" s="6" t="s">
        <v>21</v>
      </c>
      <c r="C19" s="6" t="s">
        <v>49</v>
      </c>
      <c r="D19" s="3">
        <v>1</v>
      </c>
      <c r="E19" s="3">
        <v>1</v>
      </c>
      <c r="F19" s="3">
        <f t="shared" si="2"/>
        <v>0</v>
      </c>
      <c r="G19" s="3"/>
      <c r="H19" s="7"/>
      <c r="I19" s="7"/>
      <c r="J19" s="7"/>
      <c r="K19" s="7"/>
      <c r="L19" s="7"/>
    </row>
    <row r="20" spans="1:12" ht="60.75" thickBot="1" x14ac:dyDescent="0.3">
      <c r="A20" s="1" t="s">
        <v>25</v>
      </c>
      <c r="B20" s="6" t="s">
        <v>22</v>
      </c>
      <c r="C20" s="6" t="s">
        <v>49</v>
      </c>
      <c r="D20" s="3">
        <v>1</v>
      </c>
      <c r="E20" s="3">
        <v>1</v>
      </c>
      <c r="F20" s="3">
        <f t="shared" si="2"/>
        <v>0</v>
      </c>
      <c r="G20" s="3"/>
      <c r="H20" s="7"/>
      <c r="I20" s="7"/>
      <c r="J20" s="7"/>
      <c r="K20" s="7"/>
      <c r="L20" s="7"/>
    </row>
    <row r="21" spans="1:12" ht="60.75" thickBot="1" x14ac:dyDescent="0.3">
      <c r="A21" s="1" t="s">
        <v>25</v>
      </c>
      <c r="B21" s="6" t="s">
        <v>23</v>
      </c>
      <c r="C21" s="6" t="s">
        <v>53</v>
      </c>
      <c r="D21" s="3">
        <v>1</v>
      </c>
      <c r="E21" s="3">
        <v>1</v>
      </c>
      <c r="F21" s="3">
        <f t="shared" si="2"/>
        <v>0</v>
      </c>
      <c r="G21" s="3"/>
      <c r="H21" s="7"/>
      <c r="I21" s="7"/>
      <c r="J21" s="7"/>
      <c r="K21" s="7"/>
      <c r="L21" s="7"/>
    </row>
    <row r="22" spans="1:12" ht="60.75" thickBot="1" x14ac:dyDescent="0.3">
      <c r="A22" s="12" t="s">
        <v>25</v>
      </c>
      <c r="B22" s="13" t="s">
        <v>24</v>
      </c>
      <c r="C22" s="13" t="s">
        <v>46</v>
      </c>
      <c r="D22" s="14">
        <v>1</v>
      </c>
      <c r="E22" s="14">
        <v>1</v>
      </c>
      <c r="F22" s="14">
        <f t="shared" si="2"/>
        <v>0</v>
      </c>
      <c r="G22" s="14">
        <f>SUM(D12:D22)</f>
        <v>20</v>
      </c>
      <c r="H22" s="14">
        <f>SUM(E12:E22)</f>
        <v>20</v>
      </c>
      <c r="I22" s="14">
        <f>G22-H22</f>
        <v>0</v>
      </c>
      <c r="J22" s="18">
        <f>G22/D29*100</f>
        <v>41.666666666666671</v>
      </c>
      <c r="K22" s="18">
        <f>H22/D29*100</f>
        <v>41.666666666666671</v>
      </c>
      <c r="L22" s="24">
        <f>J22-K22</f>
        <v>0</v>
      </c>
    </row>
    <row r="23" spans="1:12" ht="61.5" thickTop="1" thickBot="1" x14ac:dyDescent="0.3">
      <c r="A23" s="8" t="s">
        <v>33</v>
      </c>
      <c r="B23" s="9" t="s">
        <v>27</v>
      </c>
      <c r="C23" s="9" t="s">
        <v>44</v>
      </c>
      <c r="D23" s="10">
        <v>1</v>
      </c>
      <c r="E23" s="10">
        <v>1</v>
      </c>
      <c r="F23" s="10">
        <f t="shared" si="2"/>
        <v>0</v>
      </c>
      <c r="G23" s="10"/>
      <c r="H23" s="11"/>
      <c r="I23" s="11"/>
      <c r="J23" s="11"/>
      <c r="K23" s="11"/>
      <c r="L23" s="11"/>
    </row>
    <row r="24" spans="1:12" ht="60.75" thickBot="1" x14ac:dyDescent="0.3">
      <c r="A24" s="1" t="s">
        <v>33</v>
      </c>
      <c r="B24" s="6" t="s">
        <v>28</v>
      </c>
      <c r="C24" s="6" t="s">
        <v>54</v>
      </c>
      <c r="D24" s="3">
        <v>1</v>
      </c>
      <c r="E24" s="3">
        <v>1</v>
      </c>
      <c r="F24" s="3">
        <f t="shared" si="2"/>
        <v>0</v>
      </c>
      <c r="G24" s="3"/>
      <c r="H24" s="7"/>
      <c r="I24" s="7"/>
      <c r="J24" s="7"/>
      <c r="K24" s="7"/>
      <c r="L24" s="7"/>
    </row>
    <row r="25" spans="1:12" ht="60.75" thickBot="1" x14ac:dyDescent="0.3">
      <c r="A25" s="1" t="s">
        <v>33</v>
      </c>
      <c r="B25" s="6" t="s">
        <v>29</v>
      </c>
      <c r="C25" s="6" t="s">
        <v>44</v>
      </c>
      <c r="D25" s="3">
        <v>1</v>
      </c>
      <c r="E25" s="3">
        <v>1</v>
      </c>
      <c r="F25" s="3">
        <f t="shared" si="2"/>
        <v>0</v>
      </c>
      <c r="G25" s="3"/>
      <c r="H25" s="7"/>
      <c r="I25" s="7"/>
      <c r="J25" s="7"/>
      <c r="K25" s="7"/>
      <c r="L25" s="7"/>
    </row>
    <row r="26" spans="1:12" ht="60.75" thickBot="1" x14ac:dyDescent="0.3">
      <c r="A26" s="1" t="s">
        <v>33</v>
      </c>
      <c r="B26" s="6" t="s">
        <v>30</v>
      </c>
      <c r="C26" s="6" t="s">
        <v>44</v>
      </c>
      <c r="D26" s="3">
        <v>0</v>
      </c>
      <c r="E26" s="3">
        <v>0</v>
      </c>
      <c r="F26" s="3">
        <f t="shared" si="2"/>
        <v>0</v>
      </c>
      <c r="G26" s="3"/>
      <c r="H26" s="7"/>
      <c r="I26" s="17"/>
      <c r="J26" s="17"/>
      <c r="K26" s="17"/>
      <c r="L26" s="17"/>
    </row>
    <row r="27" spans="1:12" ht="60.75" thickBot="1" x14ac:dyDescent="0.3">
      <c r="A27" s="12" t="s">
        <v>33</v>
      </c>
      <c r="B27" s="13" t="s">
        <v>31</v>
      </c>
      <c r="C27" s="13" t="s">
        <v>55</v>
      </c>
      <c r="D27" s="14">
        <v>5</v>
      </c>
      <c r="E27" s="14">
        <v>5</v>
      </c>
      <c r="F27" s="14">
        <f t="shared" si="2"/>
        <v>0</v>
      </c>
      <c r="G27" s="14">
        <f>SUM(D23:D27)</f>
        <v>8</v>
      </c>
      <c r="H27" s="14">
        <f>SUM(E23:E27)</f>
        <v>8</v>
      </c>
      <c r="I27" s="14">
        <f>G27-H27</f>
        <v>0</v>
      </c>
      <c r="J27" s="18">
        <f>G27/D29*100</f>
        <v>16.666666666666664</v>
      </c>
      <c r="K27" s="18">
        <f>H27/D29*100</f>
        <v>16.666666666666664</v>
      </c>
      <c r="L27" s="14"/>
    </row>
    <row r="28" spans="1:12" ht="16.5" thickTop="1" thickBot="1" x14ac:dyDescent="0.3">
      <c r="A28" s="20" t="s">
        <v>32</v>
      </c>
      <c r="B28" s="21" t="s">
        <v>32</v>
      </c>
      <c r="C28" s="21" t="s">
        <v>44</v>
      </c>
      <c r="D28" s="22">
        <v>1</v>
      </c>
      <c r="E28" s="22">
        <v>1</v>
      </c>
      <c r="F28" s="22">
        <f t="shared" si="2"/>
        <v>0</v>
      </c>
      <c r="G28" s="22">
        <v>1</v>
      </c>
      <c r="H28" s="20">
        <f>D28</f>
        <v>1</v>
      </c>
      <c r="I28" s="23">
        <f>G28-H28</f>
        <v>0</v>
      </c>
      <c r="J28" s="19">
        <f>G28/D29*100</f>
        <v>2.083333333333333</v>
      </c>
      <c r="K28" s="19">
        <f>H28/D29*100</f>
        <v>2.083333333333333</v>
      </c>
      <c r="L28" s="25">
        <f>J28-K28</f>
        <v>0</v>
      </c>
    </row>
    <row r="29" spans="1:12" ht="16.5" thickTop="1" thickBot="1" x14ac:dyDescent="0.3">
      <c r="C29" s="9" t="s">
        <v>64</v>
      </c>
      <c r="D29" s="11">
        <f>SUM(D5:D28)</f>
        <v>48</v>
      </c>
      <c r="E29" s="11">
        <f>SUM(E5:E28)</f>
        <v>48</v>
      </c>
      <c r="F29" s="10">
        <f>D29-E29</f>
        <v>0</v>
      </c>
      <c r="J29">
        <f>SUM(J2:J28)</f>
        <v>99.999999999999986</v>
      </c>
      <c r="K29">
        <f>SUM(K2:K28)</f>
        <v>99.999999999999986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1B34-BC39-489C-A82E-93FC078601D6}">
  <dimension ref="A1:L40"/>
  <sheetViews>
    <sheetView tabSelected="1" zoomScale="160" zoomScaleNormal="160" workbookViewId="0">
      <selection activeCell="B16" sqref="B16"/>
    </sheetView>
  </sheetViews>
  <sheetFormatPr baseColWidth="10" defaultRowHeight="15" x14ac:dyDescent="0.25"/>
  <cols>
    <col min="2" max="2" width="34.5703125" customWidth="1"/>
    <col min="6" max="6" width="5.85546875" bestFit="1" customWidth="1"/>
    <col min="8" max="8" width="13.5703125" customWidth="1"/>
    <col min="9" max="9" width="5.85546875" bestFit="1" customWidth="1"/>
    <col min="10" max="10" width="12.7109375" customWidth="1"/>
    <col min="11" max="11" width="14.42578125" customWidth="1"/>
    <col min="12" max="12" width="5.85546875" bestFit="1" customWidth="1"/>
  </cols>
  <sheetData>
    <row r="1" spans="1:12" ht="50.1" customHeight="1" thickBot="1" x14ac:dyDescent="0.3">
      <c r="A1" s="4" t="s">
        <v>9</v>
      </c>
      <c r="B1" s="4" t="s">
        <v>26</v>
      </c>
      <c r="C1" s="4" t="s">
        <v>43</v>
      </c>
      <c r="D1" s="5" t="s">
        <v>60</v>
      </c>
      <c r="E1" s="5" t="s">
        <v>61</v>
      </c>
      <c r="F1" s="5" t="s">
        <v>63</v>
      </c>
      <c r="G1" s="5" t="s">
        <v>58</v>
      </c>
      <c r="H1" s="5" t="s">
        <v>62</v>
      </c>
      <c r="I1" s="5" t="s">
        <v>63</v>
      </c>
      <c r="J1" s="5" t="s">
        <v>59</v>
      </c>
      <c r="K1" s="5" t="s">
        <v>65</v>
      </c>
      <c r="L1" s="5" t="s">
        <v>63</v>
      </c>
    </row>
    <row r="2" spans="1:12" ht="30.75" thickBot="1" x14ac:dyDescent="0.3">
      <c r="A2" s="1" t="s">
        <v>10</v>
      </c>
      <c r="B2" s="6" t="s">
        <v>12</v>
      </c>
      <c r="C2" s="6" t="s">
        <v>44</v>
      </c>
      <c r="D2" s="3">
        <v>60</v>
      </c>
      <c r="E2" s="3">
        <v>60</v>
      </c>
      <c r="F2" s="3">
        <f>D2-E2</f>
        <v>0</v>
      </c>
      <c r="G2" s="3"/>
      <c r="H2" s="7"/>
      <c r="I2" s="7"/>
      <c r="J2" s="7"/>
      <c r="K2" s="7"/>
      <c r="L2" s="7"/>
    </row>
    <row r="3" spans="1:12" ht="30.75" thickBot="1" x14ac:dyDescent="0.3">
      <c r="A3" s="1" t="s">
        <v>10</v>
      </c>
      <c r="B3" s="6" t="s">
        <v>13</v>
      </c>
      <c r="C3" s="6" t="s">
        <v>45</v>
      </c>
      <c r="D3" s="3">
        <v>60</v>
      </c>
      <c r="E3" s="3">
        <v>60</v>
      </c>
      <c r="F3" s="3">
        <f t="shared" ref="F3:F4" si="0">D3-E3</f>
        <v>0</v>
      </c>
      <c r="G3" s="3"/>
      <c r="H3" s="7"/>
      <c r="I3" s="7"/>
      <c r="J3" s="7"/>
      <c r="K3" s="7"/>
      <c r="L3" s="7"/>
    </row>
    <row r="4" spans="1:12" ht="30.75" thickBot="1" x14ac:dyDescent="0.3">
      <c r="A4" s="12" t="s">
        <v>10</v>
      </c>
      <c r="B4" s="13" t="s">
        <v>11</v>
      </c>
      <c r="C4" s="13" t="s">
        <v>45</v>
      </c>
      <c r="D4" s="14">
        <v>1</v>
      </c>
      <c r="E4" s="14">
        <v>1</v>
      </c>
      <c r="F4" s="14">
        <f t="shared" si="0"/>
        <v>0</v>
      </c>
      <c r="G4" s="14">
        <f>SUM(D2:D4)</f>
        <v>121</v>
      </c>
      <c r="H4" s="14">
        <f>SUM(E2:E4)</f>
        <v>121</v>
      </c>
      <c r="I4" s="14">
        <f>G4-H4</f>
        <v>0</v>
      </c>
      <c r="J4" s="14"/>
      <c r="K4" s="14"/>
      <c r="L4" s="14"/>
    </row>
    <row r="5" spans="1:12" ht="31.5" thickTop="1" thickBot="1" x14ac:dyDescent="0.3">
      <c r="A5" s="8" t="s">
        <v>14</v>
      </c>
      <c r="B5" s="9" t="s">
        <v>0</v>
      </c>
      <c r="C5" s="9" t="s">
        <v>46</v>
      </c>
      <c r="D5" s="10">
        <v>5</v>
      </c>
      <c r="E5" s="10">
        <v>5</v>
      </c>
      <c r="F5" s="10">
        <f>D5-E5</f>
        <v>0</v>
      </c>
      <c r="G5" s="10"/>
      <c r="H5" s="11"/>
      <c r="I5" s="11"/>
      <c r="J5" s="11"/>
      <c r="K5" s="11"/>
      <c r="L5" s="11"/>
    </row>
    <row r="6" spans="1:12" ht="30.75" thickBot="1" x14ac:dyDescent="0.3">
      <c r="A6" s="1" t="s">
        <v>14</v>
      </c>
      <c r="B6" s="6" t="s">
        <v>1</v>
      </c>
      <c r="C6" s="6" t="s">
        <v>47</v>
      </c>
      <c r="D6" s="3">
        <v>1</v>
      </c>
      <c r="E6" s="3">
        <v>1</v>
      </c>
      <c r="F6" s="3">
        <f t="shared" ref="F6:F11" si="1">D6-E6</f>
        <v>0</v>
      </c>
      <c r="G6" s="3"/>
      <c r="H6" s="7"/>
      <c r="I6" s="7"/>
      <c r="J6" s="7"/>
      <c r="K6" s="7"/>
      <c r="L6" s="7"/>
    </row>
    <row r="7" spans="1:12" ht="30.75" thickBot="1" x14ac:dyDescent="0.3">
      <c r="A7" s="1" t="s">
        <v>14</v>
      </c>
      <c r="B7" s="6" t="s">
        <v>2</v>
      </c>
      <c r="C7" s="6" t="s">
        <v>48</v>
      </c>
      <c r="D7" s="3">
        <v>1</v>
      </c>
      <c r="E7" s="3">
        <v>1</v>
      </c>
      <c r="F7" s="3">
        <f t="shared" si="1"/>
        <v>0</v>
      </c>
      <c r="G7" s="3"/>
      <c r="H7" s="7"/>
      <c r="I7" s="7"/>
      <c r="J7" s="7"/>
      <c r="K7" s="7"/>
      <c r="L7" s="7"/>
    </row>
    <row r="8" spans="1:12" ht="30.75" thickBot="1" x14ac:dyDescent="0.3">
      <c r="A8" s="1" t="s">
        <v>14</v>
      </c>
      <c r="B8" s="6" t="s">
        <v>3</v>
      </c>
      <c r="C8" s="6" t="s">
        <v>49</v>
      </c>
      <c r="D8" s="3">
        <v>1</v>
      </c>
      <c r="E8" s="3">
        <v>1</v>
      </c>
      <c r="F8" s="3">
        <f t="shared" si="1"/>
        <v>0</v>
      </c>
      <c r="G8" s="3"/>
      <c r="H8" s="7"/>
      <c r="I8" s="7"/>
      <c r="J8" s="7"/>
      <c r="K8" s="7"/>
      <c r="L8" s="7"/>
    </row>
    <row r="9" spans="1:12" ht="30.75" thickBot="1" x14ac:dyDescent="0.3">
      <c r="A9" s="1" t="s">
        <v>14</v>
      </c>
      <c r="B9" s="6" t="s">
        <v>4</v>
      </c>
      <c r="C9" s="6" t="s">
        <v>49</v>
      </c>
      <c r="D9" s="3">
        <v>1</v>
      </c>
      <c r="E9" s="3">
        <v>1</v>
      </c>
      <c r="F9" s="3">
        <f t="shared" si="1"/>
        <v>0</v>
      </c>
      <c r="G9" s="3"/>
      <c r="H9" s="7"/>
      <c r="I9" s="7"/>
      <c r="J9" s="7"/>
      <c r="K9" s="7"/>
      <c r="L9" s="7"/>
    </row>
    <row r="10" spans="1:12" ht="102" customHeight="1" thickBot="1" x14ac:dyDescent="0.3">
      <c r="A10" s="1" t="s">
        <v>14</v>
      </c>
      <c r="B10" s="6" t="s">
        <v>5</v>
      </c>
      <c r="C10" s="6" t="s">
        <v>46</v>
      </c>
      <c r="D10" s="3">
        <v>5</v>
      </c>
      <c r="E10" s="3">
        <v>5</v>
      </c>
      <c r="F10" s="3">
        <f t="shared" si="1"/>
        <v>0</v>
      </c>
      <c r="G10" s="16"/>
      <c r="H10" s="16"/>
      <c r="I10" s="16"/>
      <c r="J10" s="16"/>
      <c r="K10" s="16"/>
      <c r="L10" s="16"/>
    </row>
    <row r="11" spans="1:12" ht="90.75" thickBot="1" x14ac:dyDescent="0.3">
      <c r="A11" s="12" t="s">
        <v>14</v>
      </c>
      <c r="B11" s="13" t="s">
        <v>6</v>
      </c>
      <c r="C11" s="13" t="s">
        <v>46</v>
      </c>
      <c r="D11" s="14">
        <v>5</v>
      </c>
      <c r="E11" s="14">
        <v>5</v>
      </c>
      <c r="F11" s="15">
        <f t="shared" si="1"/>
        <v>0</v>
      </c>
      <c r="G11" s="14">
        <f>SUM(D5:D11)</f>
        <v>19</v>
      </c>
      <c r="H11" s="14">
        <f>SUM(E5:E11)</f>
        <v>19</v>
      </c>
      <c r="I11" s="15">
        <f>G11-H11</f>
        <v>0</v>
      </c>
      <c r="J11" s="18">
        <f>G11/D40*100</f>
        <v>27.142857142857142</v>
      </c>
      <c r="K11" s="18">
        <f>H11/D40*100</f>
        <v>27.142857142857142</v>
      </c>
      <c r="L11" s="14">
        <f>J11-K11</f>
        <v>0</v>
      </c>
    </row>
    <row r="12" spans="1:12" ht="61.5" thickTop="1" thickBot="1" x14ac:dyDescent="0.3">
      <c r="A12" s="8" t="s">
        <v>15</v>
      </c>
      <c r="B12" s="9" t="s">
        <v>7</v>
      </c>
      <c r="C12" s="9" t="s">
        <v>49</v>
      </c>
      <c r="D12" s="10">
        <v>1</v>
      </c>
      <c r="E12" s="10">
        <v>1</v>
      </c>
      <c r="F12" s="10">
        <f>D12-E12</f>
        <v>0</v>
      </c>
      <c r="G12" s="10"/>
      <c r="H12" s="11"/>
      <c r="I12" s="11"/>
      <c r="J12" s="7"/>
      <c r="K12" s="7"/>
      <c r="L12" s="11"/>
    </row>
    <row r="13" spans="1:12" ht="60.75" thickBot="1" x14ac:dyDescent="0.3">
      <c r="A13" s="1" t="s">
        <v>16</v>
      </c>
      <c r="B13" s="6" t="s">
        <v>8</v>
      </c>
      <c r="C13" s="6" t="s">
        <v>50</v>
      </c>
      <c r="D13" s="3">
        <v>8</v>
      </c>
      <c r="E13" s="3">
        <v>8</v>
      </c>
      <c r="F13" s="3">
        <f t="shared" ref="F13:F39" si="2">D13-E13</f>
        <v>0</v>
      </c>
      <c r="G13" s="3"/>
      <c r="H13" s="7"/>
      <c r="I13" s="7"/>
      <c r="J13" s="7"/>
      <c r="K13" s="7"/>
      <c r="L13" s="7"/>
    </row>
    <row r="14" spans="1:12" ht="60.75" thickBot="1" x14ac:dyDescent="0.3">
      <c r="A14" s="1" t="s">
        <v>25</v>
      </c>
      <c r="B14" s="6" t="s">
        <v>17</v>
      </c>
      <c r="C14" s="6" t="s">
        <v>45</v>
      </c>
      <c r="D14" s="3">
        <v>1</v>
      </c>
      <c r="E14" s="3">
        <v>1</v>
      </c>
      <c r="F14" s="3">
        <f t="shared" si="2"/>
        <v>0</v>
      </c>
      <c r="G14" s="3"/>
      <c r="H14" s="7"/>
      <c r="I14" s="7"/>
      <c r="J14" s="7"/>
      <c r="K14" s="7"/>
      <c r="L14" s="7"/>
    </row>
    <row r="15" spans="1:12" ht="60.75" thickBot="1" x14ac:dyDescent="0.3">
      <c r="A15" s="1" t="s">
        <v>25</v>
      </c>
      <c r="B15" s="6" t="s">
        <v>41</v>
      </c>
      <c r="C15" s="6" t="s">
        <v>51</v>
      </c>
      <c r="D15" s="3">
        <v>3</v>
      </c>
      <c r="E15" s="3">
        <v>3</v>
      </c>
      <c r="F15" s="3">
        <f t="shared" si="2"/>
        <v>0</v>
      </c>
      <c r="G15" s="3"/>
      <c r="H15" s="7"/>
      <c r="I15" s="7"/>
      <c r="J15" s="7"/>
      <c r="K15" s="7"/>
      <c r="L15" s="7"/>
    </row>
    <row r="16" spans="1:12" ht="60.75" thickBot="1" x14ac:dyDescent="0.3">
      <c r="A16" s="1" t="s">
        <v>25</v>
      </c>
      <c r="B16" s="6" t="s">
        <v>70</v>
      </c>
      <c r="C16" s="6" t="s">
        <v>45</v>
      </c>
      <c r="D16" s="3">
        <v>1</v>
      </c>
      <c r="E16" s="3">
        <v>1</v>
      </c>
      <c r="F16" s="3">
        <f t="shared" si="2"/>
        <v>0</v>
      </c>
      <c r="G16" s="3"/>
      <c r="H16" s="7"/>
      <c r="I16" s="7"/>
      <c r="J16" s="7"/>
      <c r="K16" s="7"/>
      <c r="L16" s="7"/>
    </row>
    <row r="17" spans="1:12" ht="60.75" thickBot="1" x14ac:dyDescent="0.3">
      <c r="A17" s="1" t="s">
        <v>25</v>
      </c>
      <c r="B17" s="6" t="s">
        <v>19</v>
      </c>
      <c r="C17" s="6" t="s">
        <v>46</v>
      </c>
      <c r="D17" s="3">
        <v>1</v>
      </c>
      <c r="E17" s="3">
        <v>1</v>
      </c>
      <c r="F17" s="3">
        <f t="shared" si="2"/>
        <v>0</v>
      </c>
      <c r="G17" s="3"/>
      <c r="H17" s="7"/>
      <c r="I17" s="7"/>
      <c r="J17" s="7"/>
      <c r="K17" s="7"/>
      <c r="L17" s="7"/>
    </row>
    <row r="18" spans="1:12" ht="60.75" thickBot="1" x14ac:dyDescent="0.3">
      <c r="A18" s="1" t="s">
        <v>25</v>
      </c>
      <c r="B18" s="6" t="s">
        <v>20</v>
      </c>
      <c r="C18" s="6" t="s">
        <v>52</v>
      </c>
      <c r="D18" s="3">
        <v>1</v>
      </c>
      <c r="E18" s="3">
        <v>1</v>
      </c>
      <c r="F18" s="3">
        <f t="shared" si="2"/>
        <v>0</v>
      </c>
      <c r="G18" s="3"/>
      <c r="H18" s="7"/>
      <c r="I18" s="7"/>
      <c r="J18" s="7"/>
      <c r="K18" s="7"/>
      <c r="L18" s="7"/>
    </row>
    <row r="19" spans="1:12" ht="60.75" thickBot="1" x14ac:dyDescent="0.3">
      <c r="A19" s="1" t="s">
        <v>25</v>
      </c>
      <c r="B19" s="6" t="s">
        <v>21</v>
      </c>
      <c r="C19" s="6" t="s">
        <v>49</v>
      </c>
      <c r="D19" s="3">
        <v>1</v>
      </c>
      <c r="E19" s="3">
        <v>1</v>
      </c>
      <c r="F19" s="3">
        <f t="shared" si="2"/>
        <v>0</v>
      </c>
      <c r="G19" s="3"/>
      <c r="H19" s="7"/>
      <c r="I19" s="7"/>
      <c r="J19" s="7"/>
      <c r="K19" s="7"/>
      <c r="L19" s="7"/>
    </row>
    <row r="20" spans="1:12" ht="60.75" thickBot="1" x14ac:dyDescent="0.3">
      <c r="A20" s="1" t="s">
        <v>25</v>
      </c>
      <c r="B20" s="6" t="s">
        <v>22</v>
      </c>
      <c r="C20" s="6" t="s">
        <v>49</v>
      </c>
      <c r="D20" s="3">
        <v>1</v>
      </c>
      <c r="E20" s="3">
        <v>1</v>
      </c>
      <c r="F20" s="3">
        <f t="shared" si="2"/>
        <v>0</v>
      </c>
      <c r="G20" s="3"/>
      <c r="H20" s="7"/>
      <c r="I20" s="7"/>
      <c r="J20" s="7"/>
      <c r="K20" s="7"/>
      <c r="L20" s="7"/>
    </row>
    <row r="21" spans="1:12" ht="60.75" thickBot="1" x14ac:dyDescent="0.3">
      <c r="A21" s="1" t="s">
        <v>25</v>
      </c>
      <c r="B21" s="6" t="s">
        <v>23</v>
      </c>
      <c r="C21" s="6" t="s">
        <v>53</v>
      </c>
      <c r="D21" s="3">
        <v>1</v>
      </c>
      <c r="E21" s="3">
        <v>1</v>
      </c>
      <c r="F21" s="3">
        <f t="shared" si="2"/>
        <v>0</v>
      </c>
      <c r="G21" s="3"/>
      <c r="H21" s="7"/>
      <c r="I21" s="7"/>
      <c r="J21" s="7"/>
      <c r="K21" s="7"/>
      <c r="L21" s="7"/>
    </row>
    <row r="22" spans="1:12" ht="60.75" thickBot="1" x14ac:dyDescent="0.3">
      <c r="A22" s="12" t="s">
        <v>25</v>
      </c>
      <c r="B22" s="13" t="s">
        <v>24</v>
      </c>
      <c r="C22" s="13" t="s">
        <v>46</v>
      </c>
      <c r="D22" s="14">
        <v>1</v>
      </c>
      <c r="E22" s="14">
        <v>1</v>
      </c>
      <c r="F22" s="14">
        <f t="shared" si="2"/>
        <v>0</v>
      </c>
      <c r="G22" s="14">
        <f>SUM(D12:D22)</f>
        <v>20</v>
      </c>
      <c r="H22" s="14">
        <f>SUM(E12:E22)</f>
        <v>20</v>
      </c>
      <c r="I22" s="14">
        <f>G22-H22</f>
        <v>0</v>
      </c>
      <c r="J22" s="18">
        <f>G22/D40*100</f>
        <v>28.571428571428569</v>
      </c>
      <c r="K22" s="18">
        <f>H22/D40*100</f>
        <v>28.571428571428569</v>
      </c>
      <c r="L22" s="24">
        <f>J22-K22</f>
        <v>0</v>
      </c>
    </row>
    <row r="23" spans="1:12" ht="61.5" thickTop="1" thickBot="1" x14ac:dyDescent="0.3">
      <c r="A23" s="8" t="s">
        <v>33</v>
      </c>
      <c r="B23" s="9" t="s">
        <v>27</v>
      </c>
      <c r="C23" s="9" t="s">
        <v>44</v>
      </c>
      <c r="D23" s="10">
        <v>1</v>
      </c>
      <c r="E23" s="10">
        <v>1</v>
      </c>
      <c r="F23" s="10">
        <f t="shared" si="2"/>
        <v>0</v>
      </c>
      <c r="G23" s="10"/>
      <c r="H23" s="11"/>
      <c r="I23" s="11"/>
      <c r="J23" s="11"/>
      <c r="K23" s="11"/>
      <c r="L23" s="11"/>
    </row>
    <row r="24" spans="1:12" ht="60.75" thickBot="1" x14ac:dyDescent="0.3">
      <c r="A24" s="1" t="s">
        <v>33</v>
      </c>
      <c r="B24" s="6" t="s">
        <v>28</v>
      </c>
      <c r="C24" s="6" t="s">
        <v>54</v>
      </c>
      <c r="D24" s="3">
        <v>1</v>
      </c>
      <c r="E24" s="3">
        <v>1</v>
      </c>
      <c r="F24" s="3">
        <f t="shared" si="2"/>
        <v>0</v>
      </c>
      <c r="G24" s="3"/>
      <c r="H24" s="7"/>
      <c r="I24" s="7"/>
      <c r="J24" s="7"/>
      <c r="K24" s="7"/>
      <c r="L24" s="7"/>
    </row>
    <row r="25" spans="1:12" ht="60.75" thickBot="1" x14ac:dyDescent="0.3">
      <c r="A25" s="1" t="s">
        <v>33</v>
      </c>
      <c r="B25" s="6" t="s">
        <v>29</v>
      </c>
      <c r="C25" s="6" t="s">
        <v>44</v>
      </c>
      <c r="D25" s="3">
        <v>1</v>
      </c>
      <c r="E25" s="3">
        <v>1</v>
      </c>
      <c r="F25" s="3">
        <f t="shared" si="2"/>
        <v>0</v>
      </c>
      <c r="G25" s="3"/>
      <c r="H25" s="7"/>
      <c r="I25" s="7"/>
      <c r="J25" s="7"/>
      <c r="K25" s="7"/>
      <c r="L25" s="7"/>
    </row>
    <row r="26" spans="1:12" ht="60.75" thickBot="1" x14ac:dyDescent="0.3">
      <c r="A26" s="1" t="s">
        <v>33</v>
      </c>
      <c r="B26" s="6" t="s">
        <v>30</v>
      </c>
      <c r="C26" s="6" t="s">
        <v>44</v>
      </c>
      <c r="D26" s="3">
        <v>0</v>
      </c>
      <c r="E26" s="3">
        <v>0</v>
      </c>
      <c r="F26" s="3">
        <f t="shared" si="2"/>
        <v>0</v>
      </c>
      <c r="G26" s="3"/>
      <c r="H26" s="7"/>
      <c r="I26" s="17"/>
      <c r="J26" s="17"/>
      <c r="K26" s="17"/>
      <c r="L26" s="17"/>
    </row>
    <row r="27" spans="1:12" ht="60.75" thickBot="1" x14ac:dyDescent="0.3">
      <c r="A27" s="12" t="s">
        <v>33</v>
      </c>
      <c r="B27" s="13" t="s">
        <v>31</v>
      </c>
      <c r="C27" s="13" t="s">
        <v>55</v>
      </c>
      <c r="D27" s="14">
        <v>5</v>
      </c>
      <c r="E27" s="14">
        <v>5</v>
      </c>
      <c r="F27" s="14">
        <f t="shared" si="2"/>
        <v>0</v>
      </c>
      <c r="G27" s="14">
        <f>SUM(D23:D27)</f>
        <v>8</v>
      </c>
      <c r="H27" s="14">
        <f>SUM(E23:E27)</f>
        <v>8</v>
      </c>
      <c r="I27" s="14">
        <f>G27-H27</f>
        <v>0</v>
      </c>
      <c r="J27" s="18">
        <f>G27/D40*100</f>
        <v>11.428571428571429</v>
      </c>
      <c r="K27" s="18">
        <f>H27/D40*100</f>
        <v>11.428571428571429</v>
      </c>
      <c r="L27" s="14"/>
    </row>
    <row r="28" spans="1:12" ht="76.5" thickTop="1" thickBot="1" x14ac:dyDescent="0.3">
      <c r="A28" s="1" t="s">
        <v>34</v>
      </c>
      <c r="B28" s="2" t="s">
        <v>24</v>
      </c>
      <c r="C28" s="2" t="s">
        <v>46</v>
      </c>
      <c r="D28" s="3">
        <v>1</v>
      </c>
      <c r="E28" s="3">
        <v>1</v>
      </c>
      <c r="F28" s="3">
        <f>D28-E28</f>
        <v>0</v>
      </c>
      <c r="G28" s="3"/>
      <c r="H28" s="3"/>
      <c r="I28" s="3"/>
      <c r="J28" s="3"/>
      <c r="K28" s="3"/>
      <c r="L28" s="3"/>
    </row>
    <row r="29" spans="1:12" ht="75.75" thickBot="1" x14ac:dyDescent="0.3">
      <c r="A29" s="1" t="s">
        <v>34</v>
      </c>
      <c r="B29" s="2" t="s">
        <v>35</v>
      </c>
      <c r="C29" s="2" t="s">
        <v>56</v>
      </c>
      <c r="D29" s="3">
        <v>1</v>
      </c>
      <c r="E29" s="3">
        <v>1</v>
      </c>
      <c r="F29" s="3">
        <f t="shared" ref="F29:F38" si="3">D29-E29</f>
        <v>0</v>
      </c>
      <c r="G29" s="3"/>
      <c r="H29" s="3"/>
      <c r="I29" s="3"/>
      <c r="J29" s="3"/>
      <c r="K29" s="3"/>
      <c r="L29" s="3"/>
    </row>
    <row r="30" spans="1:12" ht="75.75" thickBot="1" x14ac:dyDescent="0.3">
      <c r="A30" s="1" t="s">
        <v>34</v>
      </c>
      <c r="B30" s="2" t="s">
        <v>42</v>
      </c>
      <c r="C30" s="2" t="s">
        <v>57</v>
      </c>
      <c r="D30" s="3">
        <v>1</v>
      </c>
      <c r="E30" s="3">
        <v>1</v>
      </c>
      <c r="F30" s="3">
        <f t="shared" si="3"/>
        <v>0</v>
      </c>
      <c r="G30" s="3"/>
      <c r="H30" s="3"/>
      <c r="I30" s="3"/>
      <c r="J30" s="3"/>
      <c r="K30" s="3"/>
      <c r="L30" s="3"/>
    </row>
    <row r="31" spans="1:12" ht="75.75" thickBot="1" x14ac:dyDescent="0.3">
      <c r="A31" s="1" t="s">
        <v>34</v>
      </c>
      <c r="B31" s="2" t="s">
        <v>36</v>
      </c>
      <c r="C31" s="2" t="s">
        <v>57</v>
      </c>
      <c r="D31" s="3">
        <v>1</v>
      </c>
      <c r="E31" s="3">
        <v>1</v>
      </c>
      <c r="F31" s="3">
        <f t="shared" si="3"/>
        <v>0</v>
      </c>
      <c r="G31" s="3"/>
      <c r="H31" s="3"/>
      <c r="I31" s="3"/>
      <c r="J31" s="3"/>
      <c r="K31" s="3"/>
      <c r="L31" s="3"/>
    </row>
    <row r="32" spans="1:12" ht="75.75" thickBot="1" x14ac:dyDescent="0.3">
      <c r="A32" s="1" t="s">
        <v>34</v>
      </c>
      <c r="B32" s="2" t="s">
        <v>37</v>
      </c>
      <c r="C32" s="2" t="s">
        <v>49</v>
      </c>
      <c r="D32" s="3">
        <v>1</v>
      </c>
      <c r="E32" s="3">
        <v>1</v>
      </c>
      <c r="F32" s="3">
        <f t="shared" si="3"/>
        <v>0</v>
      </c>
      <c r="G32" s="3"/>
      <c r="H32" s="3"/>
      <c r="I32" s="3"/>
      <c r="J32" s="3"/>
      <c r="K32" s="3"/>
      <c r="L32" s="3"/>
    </row>
    <row r="33" spans="1:12" ht="75.75" thickBot="1" x14ac:dyDescent="0.3">
      <c r="A33" s="1" t="s">
        <v>34</v>
      </c>
      <c r="B33" s="2" t="s">
        <v>38</v>
      </c>
      <c r="C33" s="2" t="s">
        <v>50</v>
      </c>
      <c r="D33" s="3">
        <v>8</v>
      </c>
      <c r="E33" s="3">
        <v>8</v>
      </c>
      <c r="F33" s="3">
        <f t="shared" si="3"/>
        <v>0</v>
      </c>
      <c r="G33" s="3"/>
      <c r="H33" s="3"/>
      <c r="I33" s="3"/>
      <c r="J33" s="3"/>
      <c r="K33" s="3"/>
      <c r="L33" s="3"/>
    </row>
    <row r="34" spans="1:12" ht="75.75" thickBot="1" x14ac:dyDescent="0.3">
      <c r="A34" s="1" t="s">
        <v>34</v>
      </c>
      <c r="B34" s="2" t="s">
        <v>39</v>
      </c>
      <c r="C34" s="2" t="s">
        <v>44</v>
      </c>
      <c r="D34" s="3">
        <v>1</v>
      </c>
      <c r="E34" s="3">
        <v>1</v>
      </c>
      <c r="F34" s="3">
        <f t="shared" si="3"/>
        <v>0</v>
      </c>
      <c r="G34" s="3"/>
      <c r="H34" s="3"/>
      <c r="I34" s="3"/>
      <c r="J34" s="3"/>
      <c r="K34" s="3"/>
      <c r="L34" s="3"/>
    </row>
    <row r="35" spans="1:12" ht="75.75" thickBot="1" x14ac:dyDescent="0.3">
      <c r="A35" s="1" t="s">
        <v>34</v>
      </c>
      <c r="B35" s="2" t="s">
        <v>40</v>
      </c>
      <c r="C35" s="2" t="s">
        <v>46</v>
      </c>
      <c r="D35" s="3">
        <v>1</v>
      </c>
      <c r="E35" s="3">
        <v>1</v>
      </c>
      <c r="F35" s="3">
        <f t="shared" si="3"/>
        <v>0</v>
      </c>
      <c r="G35" s="3"/>
      <c r="H35" s="3"/>
      <c r="I35" s="3"/>
      <c r="J35" s="3"/>
      <c r="K35" s="3"/>
      <c r="L35" s="3"/>
    </row>
    <row r="36" spans="1:12" ht="75.75" thickBot="1" x14ac:dyDescent="0.3">
      <c r="A36" s="1" t="s">
        <v>34</v>
      </c>
      <c r="B36" s="2" t="s">
        <v>30</v>
      </c>
      <c r="C36" s="2" t="s">
        <v>44</v>
      </c>
      <c r="D36" s="3">
        <v>1</v>
      </c>
      <c r="E36" s="3">
        <v>1</v>
      </c>
      <c r="F36" s="3">
        <f t="shared" si="3"/>
        <v>0</v>
      </c>
      <c r="G36" s="3"/>
      <c r="H36" s="3"/>
      <c r="I36" s="3"/>
      <c r="J36" s="3"/>
      <c r="K36" s="3"/>
      <c r="L36" s="3"/>
    </row>
    <row r="37" spans="1:12" ht="75.75" thickBot="1" x14ac:dyDescent="0.3">
      <c r="A37" s="1" t="s">
        <v>34</v>
      </c>
      <c r="B37" s="2" t="s">
        <v>31</v>
      </c>
      <c r="C37" s="2" t="s">
        <v>55</v>
      </c>
      <c r="D37" s="3">
        <v>5</v>
      </c>
      <c r="E37" s="3">
        <v>5</v>
      </c>
      <c r="F37" s="3">
        <f t="shared" si="3"/>
        <v>0</v>
      </c>
      <c r="G37" s="3"/>
      <c r="H37" s="3"/>
      <c r="I37" s="3"/>
      <c r="J37" s="3"/>
      <c r="K37" s="3"/>
      <c r="L37" s="3"/>
    </row>
    <row r="38" spans="1:12" ht="75.75" thickBot="1" x14ac:dyDescent="0.3">
      <c r="A38" s="1" t="s">
        <v>34</v>
      </c>
      <c r="B38" s="2" t="s">
        <v>32</v>
      </c>
      <c r="C38" s="2" t="s">
        <v>44</v>
      </c>
      <c r="D38" s="3">
        <v>1</v>
      </c>
      <c r="E38" s="3">
        <v>1</v>
      </c>
      <c r="F38" s="3">
        <f t="shared" si="3"/>
        <v>0</v>
      </c>
      <c r="G38" s="3">
        <f>SUM(D28:D38)</f>
        <v>22</v>
      </c>
      <c r="H38" s="3">
        <f>SUM(E28:E38)</f>
        <v>22</v>
      </c>
      <c r="I38" s="3">
        <f>G38-H38</f>
        <v>0</v>
      </c>
      <c r="J38" s="26">
        <f>G38/D40*100</f>
        <v>31.428571428571427</v>
      </c>
      <c r="K38" s="26">
        <f>H38/D40*100</f>
        <v>31.428571428571427</v>
      </c>
      <c r="L38" s="26">
        <f>J38-K38</f>
        <v>0</v>
      </c>
    </row>
    <row r="39" spans="1:12" ht="16.5" thickTop="1" thickBot="1" x14ac:dyDescent="0.3">
      <c r="A39" s="20" t="s">
        <v>32</v>
      </c>
      <c r="B39" s="21" t="s">
        <v>32</v>
      </c>
      <c r="C39" s="21" t="s">
        <v>44</v>
      </c>
      <c r="D39" s="22">
        <v>1</v>
      </c>
      <c r="E39" s="22">
        <v>1</v>
      </c>
      <c r="F39" s="22">
        <f t="shared" si="2"/>
        <v>0</v>
      </c>
      <c r="G39" s="22">
        <v>1</v>
      </c>
      <c r="H39" s="20">
        <f>D39</f>
        <v>1</v>
      </c>
      <c r="I39" s="23">
        <f>G39-H39</f>
        <v>0</v>
      </c>
      <c r="J39" s="19">
        <f>G39/D40*100</f>
        <v>1.4285714285714286</v>
      </c>
      <c r="K39" s="19">
        <f>H39/D40*100</f>
        <v>1.4285714285714286</v>
      </c>
      <c r="L39" s="25">
        <f>J39-K39</f>
        <v>0</v>
      </c>
    </row>
    <row r="40" spans="1:12" ht="16.5" thickTop="1" thickBot="1" x14ac:dyDescent="0.3">
      <c r="C40" s="9" t="s">
        <v>64</v>
      </c>
      <c r="D40" s="11">
        <f>SUM(D5:D39)</f>
        <v>70</v>
      </c>
      <c r="E40" s="11">
        <f>SUM(E5:E39)</f>
        <v>70</v>
      </c>
      <c r="F40" s="10">
        <f>D40-E40</f>
        <v>0</v>
      </c>
      <c r="J40">
        <f>SUM(J5:J39)</f>
        <v>100</v>
      </c>
      <c r="K40">
        <f>SUM(K5:K39)</f>
        <v>100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81AC-6A51-4024-80DE-0B1AD8041D11}">
  <dimension ref="A1:L23"/>
  <sheetViews>
    <sheetView zoomScale="80" zoomScaleNormal="80" workbookViewId="0">
      <selection activeCell="A2" sqref="A2:XFD4"/>
    </sheetView>
  </sheetViews>
  <sheetFormatPr baseColWidth="10" defaultRowHeight="15" x14ac:dyDescent="0.25"/>
  <cols>
    <col min="2" max="2" width="34.5703125" customWidth="1"/>
    <col min="6" max="6" width="5.85546875" bestFit="1" customWidth="1"/>
    <col min="8" max="8" width="13.5703125" customWidth="1"/>
    <col min="9" max="9" width="5.85546875" bestFit="1" customWidth="1"/>
    <col min="10" max="10" width="12.7109375" customWidth="1"/>
    <col min="11" max="11" width="14.42578125" customWidth="1"/>
    <col min="12" max="12" width="5.85546875" bestFit="1" customWidth="1"/>
  </cols>
  <sheetData>
    <row r="1" spans="1:12" ht="50.1" customHeight="1" thickBot="1" x14ac:dyDescent="0.3">
      <c r="A1" s="4" t="s">
        <v>9</v>
      </c>
      <c r="B1" s="4" t="s">
        <v>26</v>
      </c>
      <c r="C1" s="4" t="s">
        <v>43</v>
      </c>
      <c r="D1" s="5" t="s">
        <v>60</v>
      </c>
      <c r="E1" s="5" t="s">
        <v>61</v>
      </c>
      <c r="F1" s="5" t="s">
        <v>63</v>
      </c>
      <c r="G1" s="5" t="s">
        <v>58</v>
      </c>
      <c r="H1" s="5" t="s">
        <v>62</v>
      </c>
      <c r="I1" s="5" t="s">
        <v>63</v>
      </c>
      <c r="J1" s="5" t="s">
        <v>59</v>
      </c>
      <c r="K1" s="5" t="s">
        <v>65</v>
      </c>
      <c r="L1" s="5" t="s">
        <v>63</v>
      </c>
    </row>
    <row r="2" spans="1:12" ht="30.75" thickBot="1" x14ac:dyDescent="0.3">
      <c r="A2" s="1" t="s">
        <v>10</v>
      </c>
      <c r="B2" s="6" t="s">
        <v>12</v>
      </c>
      <c r="C2" s="6" t="s">
        <v>44</v>
      </c>
      <c r="D2" s="3">
        <v>60</v>
      </c>
      <c r="E2" s="3">
        <v>60</v>
      </c>
      <c r="F2" s="3">
        <f>D2-E2</f>
        <v>0</v>
      </c>
      <c r="G2" s="3"/>
      <c r="H2" s="7"/>
      <c r="I2" s="7"/>
      <c r="J2" s="7"/>
      <c r="K2" s="7"/>
      <c r="L2" s="7"/>
    </row>
    <row r="3" spans="1:12" ht="30.75" thickBot="1" x14ac:dyDescent="0.3">
      <c r="A3" s="1" t="s">
        <v>10</v>
      </c>
      <c r="B3" s="6" t="s">
        <v>13</v>
      </c>
      <c r="C3" s="6" t="s">
        <v>45</v>
      </c>
      <c r="D3" s="3">
        <v>60</v>
      </c>
      <c r="E3" s="3">
        <v>60</v>
      </c>
      <c r="F3" s="3">
        <f t="shared" ref="F3:F4" si="0">D3-E3</f>
        <v>0</v>
      </c>
      <c r="G3" s="3"/>
      <c r="H3" s="7"/>
      <c r="I3" s="7"/>
      <c r="J3" s="7"/>
      <c r="K3" s="7"/>
      <c r="L3" s="7"/>
    </row>
    <row r="4" spans="1:12" ht="30.75" thickBot="1" x14ac:dyDescent="0.3">
      <c r="A4" s="12" t="s">
        <v>10</v>
      </c>
      <c r="B4" s="13" t="s">
        <v>11</v>
      </c>
      <c r="C4" s="13" t="s">
        <v>45</v>
      </c>
      <c r="D4" s="14">
        <v>1</v>
      </c>
      <c r="E4" s="14">
        <v>1</v>
      </c>
      <c r="F4" s="14">
        <f t="shared" si="0"/>
        <v>0</v>
      </c>
      <c r="G4" s="14">
        <f>SUM(D2:D4)</f>
        <v>121</v>
      </c>
      <c r="H4" s="14">
        <f>SUM(E2:E4)</f>
        <v>121</v>
      </c>
      <c r="I4" s="14">
        <f>G4-H4</f>
        <v>0</v>
      </c>
      <c r="J4" s="14"/>
      <c r="K4" s="14"/>
      <c r="L4" s="14"/>
    </row>
    <row r="5" spans="1:12" ht="31.5" thickTop="1" thickBot="1" x14ac:dyDescent="0.3">
      <c r="A5" s="8" t="s">
        <v>14</v>
      </c>
      <c r="B5" s="9" t="s">
        <v>0</v>
      </c>
      <c r="C5" s="9" t="s">
        <v>46</v>
      </c>
      <c r="D5" s="10">
        <v>5</v>
      </c>
      <c r="E5" s="10">
        <v>5</v>
      </c>
      <c r="F5" s="10">
        <f>D5-E5</f>
        <v>0</v>
      </c>
      <c r="G5" s="10"/>
      <c r="H5" s="11"/>
      <c r="I5" s="11"/>
      <c r="J5" s="11"/>
      <c r="K5" s="11"/>
      <c r="L5" s="11"/>
    </row>
    <row r="6" spans="1:12" ht="30.75" thickBot="1" x14ac:dyDescent="0.3">
      <c r="A6" s="1" t="s">
        <v>14</v>
      </c>
      <c r="B6" s="6" t="s">
        <v>1</v>
      </c>
      <c r="C6" s="6" t="s">
        <v>47</v>
      </c>
      <c r="D6" s="3">
        <v>1</v>
      </c>
      <c r="E6" s="3">
        <v>1</v>
      </c>
      <c r="F6" s="3">
        <f t="shared" ref="F6:F11" si="1">D6-E6</f>
        <v>0</v>
      </c>
      <c r="G6" s="3"/>
      <c r="H6" s="7"/>
      <c r="I6" s="7"/>
      <c r="J6" s="7"/>
      <c r="K6" s="7"/>
      <c r="L6" s="7"/>
    </row>
    <row r="7" spans="1:12" ht="30.75" thickBot="1" x14ac:dyDescent="0.3">
      <c r="A7" s="1" t="s">
        <v>14</v>
      </c>
      <c r="B7" s="6" t="s">
        <v>2</v>
      </c>
      <c r="C7" s="6" t="s">
        <v>48</v>
      </c>
      <c r="D7" s="3">
        <v>1</v>
      </c>
      <c r="E7" s="3">
        <v>1</v>
      </c>
      <c r="F7" s="3">
        <f t="shared" si="1"/>
        <v>0</v>
      </c>
      <c r="G7" s="3"/>
      <c r="H7" s="7"/>
      <c r="I7" s="7"/>
      <c r="J7" s="7"/>
      <c r="K7" s="7"/>
      <c r="L7" s="7"/>
    </row>
    <row r="8" spans="1:12" ht="30.75" thickBot="1" x14ac:dyDescent="0.3">
      <c r="A8" s="1" t="s">
        <v>14</v>
      </c>
      <c r="B8" s="6" t="s">
        <v>3</v>
      </c>
      <c r="C8" s="6" t="s">
        <v>49</v>
      </c>
      <c r="D8" s="3">
        <v>1</v>
      </c>
      <c r="E8" s="3">
        <v>1</v>
      </c>
      <c r="F8" s="3">
        <f t="shared" si="1"/>
        <v>0</v>
      </c>
      <c r="G8" s="3"/>
      <c r="H8" s="7"/>
      <c r="I8" s="7"/>
      <c r="J8" s="7"/>
      <c r="K8" s="7"/>
      <c r="L8" s="7"/>
    </row>
    <row r="9" spans="1:12" ht="30.75" thickBot="1" x14ac:dyDescent="0.3">
      <c r="A9" s="1" t="s">
        <v>14</v>
      </c>
      <c r="B9" s="6" t="s">
        <v>4</v>
      </c>
      <c r="C9" s="6" t="s">
        <v>49</v>
      </c>
      <c r="D9" s="3">
        <v>1</v>
      </c>
      <c r="E9" s="3">
        <v>1</v>
      </c>
      <c r="F9" s="3">
        <f t="shared" si="1"/>
        <v>0</v>
      </c>
      <c r="G9" s="3"/>
      <c r="H9" s="7"/>
      <c r="I9" s="7"/>
      <c r="J9" s="7"/>
      <c r="K9" s="7"/>
      <c r="L9" s="7"/>
    </row>
    <row r="10" spans="1:12" ht="102" customHeight="1" thickBot="1" x14ac:dyDescent="0.3">
      <c r="A10" s="1" t="s">
        <v>14</v>
      </c>
      <c r="B10" s="6" t="s">
        <v>5</v>
      </c>
      <c r="C10" s="6" t="s">
        <v>46</v>
      </c>
      <c r="D10" s="3">
        <v>5</v>
      </c>
      <c r="E10" s="3">
        <v>5</v>
      </c>
      <c r="F10" s="3">
        <f t="shared" si="1"/>
        <v>0</v>
      </c>
      <c r="G10" s="16"/>
      <c r="H10" s="16"/>
      <c r="I10" s="16"/>
      <c r="J10" s="16"/>
      <c r="K10" s="16"/>
      <c r="L10" s="16"/>
    </row>
    <row r="11" spans="1:12" ht="90.75" thickBot="1" x14ac:dyDescent="0.3">
      <c r="A11" s="12" t="s">
        <v>14</v>
      </c>
      <c r="B11" s="13" t="s">
        <v>6</v>
      </c>
      <c r="C11" s="13" t="s">
        <v>46</v>
      </c>
      <c r="D11" s="14">
        <v>5</v>
      </c>
      <c r="E11" s="14">
        <v>5</v>
      </c>
      <c r="F11" s="15">
        <f t="shared" si="1"/>
        <v>0</v>
      </c>
      <c r="G11" s="14">
        <f>SUM(D5:D11)</f>
        <v>19</v>
      </c>
      <c r="H11" s="14">
        <f>SUM(E5:E11)</f>
        <v>19</v>
      </c>
      <c r="I11" s="15">
        <f>G11-H11</f>
        <v>0</v>
      </c>
      <c r="J11" s="18">
        <f>G11/D23*100</f>
        <v>46.341463414634148</v>
      </c>
      <c r="K11" s="18">
        <f>H11/D23*100</f>
        <v>46.341463414634148</v>
      </c>
      <c r="L11" s="14">
        <f>J11-K11</f>
        <v>0</v>
      </c>
    </row>
    <row r="12" spans="1:12" ht="76.5" thickTop="1" thickBot="1" x14ac:dyDescent="0.3">
      <c r="A12" s="1" t="s">
        <v>34</v>
      </c>
      <c r="B12" s="2" t="s">
        <v>35</v>
      </c>
      <c r="C12" s="2" t="s">
        <v>56</v>
      </c>
      <c r="D12" s="3">
        <v>1</v>
      </c>
      <c r="E12" s="3">
        <v>1</v>
      </c>
      <c r="F12" s="3">
        <f t="shared" ref="F12:F21" si="2">D12-E12</f>
        <v>0</v>
      </c>
      <c r="G12" s="3"/>
      <c r="H12" s="3"/>
      <c r="I12" s="3"/>
      <c r="J12" s="3"/>
      <c r="K12" s="3"/>
      <c r="L12" s="3"/>
    </row>
    <row r="13" spans="1:12" ht="75.75" thickBot="1" x14ac:dyDescent="0.3">
      <c r="A13" s="1" t="s">
        <v>34</v>
      </c>
      <c r="B13" s="2" t="s">
        <v>42</v>
      </c>
      <c r="C13" s="2" t="s">
        <v>57</v>
      </c>
      <c r="D13" s="3">
        <v>1</v>
      </c>
      <c r="E13" s="3">
        <v>1</v>
      </c>
      <c r="F13" s="3">
        <f t="shared" si="2"/>
        <v>0</v>
      </c>
      <c r="G13" s="3"/>
      <c r="H13" s="3"/>
      <c r="I13" s="3"/>
      <c r="J13" s="3"/>
      <c r="K13" s="3"/>
      <c r="L13" s="3"/>
    </row>
    <row r="14" spans="1:12" ht="75.75" thickBot="1" x14ac:dyDescent="0.3">
      <c r="A14" s="1" t="s">
        <v>34</v>
      </c>
      <c r="B14" s="2" t="s">
        <v>36</v>
      </c>
      <c r="C14" s="2" t="s">
        <v>57</v>
      </c>
      <c r="D14" s="3">
        <v>1</v>
      </c>
      <c r="E14" s="3">
        <v>1</v>
      </c>
      <c r="F14" s="3">
        <f t="shared" si="2"/>
        <v>0</v>
      </c>
      <c r="G14" s="3"/>
      <c r="H14" s="3"/>
      <c r="I14" s="3"/>
      <c r="J14" s="3"/>
      <c r="K14" s="3"/>
      <c r="L14" s="3"/>
    </row>
    <row r="15" spans="1:12" ht="75.75" thickBot="1" x14ac:dyDescent="0.3">
      <c r="A15" s="1" t="s">
        <v>34</v>
      </c>
      <c r="B15" s="2" t="s">
        <v>37</v>
      </c>
      <c r="C15" s="2" t="s">
        <v>49</v>
      </c>
      <c r="D15" s="3">
        <v>1</v>
      </c>
      <c r="E15" s="3">
        <v>1</v>
      </c>
      <c r="F15" s="3">
        <f t="shared" si="2"/>
        <v>0</v>
      </c>
      <c r="G15" s="3"/>
      <c r="H15" s="3"/>
      <c r="I15" s="3"/>
      <c r="J15" s="3"/>
      <c r="K15" s="3"/>
      <c r="L15" s="3"/>
    </row>
    <row r="16" spans="1:12" ht="75.75" thickBot="1" x14ac:dyDescent="0.3">
      <c r="A16" s="1" t="s">
        <v>34</v>
      </c>
      <c r="B16" s="2" t="s">
        <v>38</v>
      </c>
      <c r="C16" s="2" t="s">
        <v>50</v>
      </c>
      <c r="D16" s="3">
        <v>8</v>
      </c>
      <c r="E16" s="3">
        <v>8</v>
      </c>
      <c r="F16" s="3">
        <f t="shared" si="2"/>
        <v>0</v>
      </c>
      <c r="G16" s="3"/>
      <c r="H16" s="3"/>
      <c r="I16" s="3"/>
      <c r="J16" s="3"/>
      <c r="K16" s="3"/>
      <c r="L16" s="3"/>
    </row>
    <row r="17" spans="1:12" ht="75.75" thickBot="1" x14ac:dyDescent="0.3">
      <c r="A17" s="1" t="s">
        <v>34</v>
      </c>
      <c r="B17" s="2" t="s">
        <v>39</v>
      </c>
      <c r="C17" s="2" t="s">
        <v>44</v>
      </c>
      <c r="D17" s="3">
        <v>1</v>
      </c>
      <c r="E17" s="3">
        <v>1</v>
      </c>
      <c r="F17" s="3">
        <f t="shared" si="2"/>
        <v>0</v>
      </c>
      <c r="G17" s="3"/>
      <c r="H17" s="3"/>
      <c r="I17" s="3"/>
      <c r="J17" s="3"/>
      <c r="K17" s="3"/>
      <c r="L17" s="3"/>
    </row>
    <row r="18" spans="1:12" ht="75.75" thickBot="1" x14ac:dyDescent="0.3">
      <c r="A18" s="1" t="s">
        <v>34</v>
      </c>
      <c r="B18" s="2" t="s">
        <v>40</v>
      </c>
      <c r="C18" s="2" t="s">
        <v>46</v>
      </c>
      <c r="D18" s="3">
        <v>1</v>
      </c>
      <c r="E18" s="3">
        <v>1</v>
      </c>
      <c r="F18" s="3">
        <f t="shared" si="2"/>
        <v>0</v>
      </c>
      <c r="G18" s="3"/>
      <c r="H18" s="3"/>
      <c r="I18" s="3"/>
      <c r="J18" s="3"/>
      <c r="K18" s="3"/>
      <c r="L18" s="3"/>
    </row>
    <row r="19" spans="1:12" ht="75.75" thickBot="1" x14ac:dyDescent="0.3">
      <c r="A19" s="1" t="s">
        <v>34</v>
      </c>
      <c r="B19" s="2" t="s">
        <v>30</v>
      </c>
      <c r="C19" s="2" t="s">
        <v>44</v>
      </c>
      <c r="D19" s="3">
        <v>1</v>
      </c>
      <c r="E19" s="3">
        <v>1</v>
      </c>
      <c r="F19" s="3">
        <f t="shared" si="2"/>
        <v>0</v>
      </c>
      <c r="G19" s="3"/>
      <c r="H19" s="3"/>
      <c r="I19" s="3"/>
      <c r="J19" s="3"/>
      <c r="K19" s="3"/>
      <c r="L19" s="3"/>
    </row>
    <row r="20" spans="1:12" ht="75.75" thickBot="1" x14ac:dyDescent="0.3">
      <c r="A20" s="1" t="s">
        <v>34</v>
      </c>
      <c r="B20" s="2" t="s">
        <v>31</v>
      </c>
      <c r="C20" s="2" t="s">
        <v>55</v>
      </c>
      <c r="D20" s="3">
        <v>5</v>
      </c>
      <c r="E20" s="3">
        <v>5</v>
      </c>
      <c r="F20" s="3">
        <f t="shared" si="2"/>
        <v>0</v>
      </c>
      <c r="G20" s="3"/>
      <c r="H20" s="3"/>
      <c r="I20" s="3"/>
      <c r="J20" s="3"/>
      <c r="K20" s="3"/>
      <c r="L20" s="3"/>
    </row>
    <row r="21" spans="1:12" ht="75.75" thickBot="1" x14ac:dyDescent="0.3">
      <c r="A21" s="1" t="s">
        <v>34</v>
      </c>
      <c r="B21" s="2" t="s">
        <v>32</v>
      </c>
      <c r="C21" s="2" t="s">
        <v>44</v>
      </c>
      <c r="D21" s="3">
        <v>1</v>
      </c>
      <c r="E21" s="3">
        <v>1</v>
      </c>
      <c r="F21" s="3">
        <f t="shared" si="2"/>
        <v>0</v>
      </c>
      <c r="G21" s="3">
        <f>SUM(D12:D21)</f>
        <v>21</v>
      </c>
      <c r="H21" s="3">
        <f>SUM(E12:E21)</f>
        <v>21</v>
      </c>
      <c r="I21" s="3">
        <f>G21-H21</f>
        <v>0</v>
      </c>
      <c r="J21" s="26">
        <f>G21/D23*100</f>
        <v>51.219512195121951</v>
      </c>
      <c r="K21" s="26">
        <f>H21/D23*100</f>
        <v>51.219512195121951</v>
      </c>
      <c r="L21" s="26">
        <f>J21-K21</f>
        <v>0</v>
      </c>
    </row>
    <row r="22" spans="1:12" ht="16.5" thickTop="1" thickBot="1" x14ac:dyDescent="0.3">
      <c r="A22" s="20" t="s">
        <v>32</v>
      </c>
      <c r="B22" s="21" t="s">
        <v>32</v>
      </c>
      <c r="C22" s="21" t="s">
        <v>44</v>
      </c>
      <c r="D22" s="22">
        <v>1</v>
      </c>
      <c r="E22" s="22">
        <v>1</v>
      </c>
      <c r="F22" s="22">
        <f t="shared" ref="F22" si="3">D22-E22</f>
        <v>0</v>
      </c>
      <c r="G22" s="22">
        <v>1</v>
      </c>
      <c r="H22" s="20">
        <f>D22</f>
        <v>1</v>
      </c>
      <c r="I22" s="23">
        <f>G22-H22</f>
        <v>0</v>
      </c>
      <c r="J22" s="19">
        <f>G22/D23*100</f>
        <v>2.4390243902439024</v>
      </c>
      <c r="K22" s="19">
        <f>H22/D23*100</f>
        <v>2.4390243902439024</v>
      </c>
      <c r="L22" s="25">
        <f>J22-K22</f>
        <v>0</v>
      </c>
    </row>
    <row r="23" spans="1:12" ht="16.5" thickTop="1" thickBot="1" x14ac:dyDescent="0.3">
      <c r="C23" s="9" t="s">
        <v>64</v>
      </c>
      <c r="D23" s="11">
        <f>SUM(D5:D22)</f>
        <v>41</v>
      </c>
      <c r="E23" s="11">
        <f>SUM(E5:E22)</f>
        <v>41</v>
      </c>
      <c r="F23" s="10">
        <f>D23-E23</f>
        <v>0</v>
      </c>
      <c r="J23">
        <f>SUM(J5:J22)</f>
        <v>100</v>
      </c>
      <c r="K23">
        <f>SUM(K5:K22)</f>
        <v>100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CDP</vt:lpstr>
      <vt:lpstr>CDP+VF</vt:lpstr>
      <vt:lpstr>VF 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Jimenez</dc:creator>
  <cp:lastModifiedBy>Juan Pablo Guzmán Martínez</cp:lastModifiedBy>
  <dcterms:created xsi:type="dcterms:W3CDTF">2025-09-02T16:47:12Z</dcterms:created>
  <dcterms:modified xsi:type="dcterms:W3CDTF">2025-09-05T06:27:07Z</dcterms:modified>
</cp:coreProperties>
</file>