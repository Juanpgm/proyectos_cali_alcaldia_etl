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codeName="ThisWorkbook" hidePivotFieldList="1" defaultThemeVersion="166925"/>
  <mc:AlternateContent xmlns:mc="http://schemas.openxmlformats.org/markup-compatibility/2006">
    <mc:Choice Requires="x15">
      <x15ac:absPath xmlns:x15ac="http://schemas.microsoft.com/office/spreadsheetml/2010/11/ac" url="/Users/clarckleon/Documents/Docuemntos DACP/1. Rev Proceos SECOP /"/>
    </mc:Choice>
  </mc:AlternateContent>
  <xr:revisionPtr revIDLastSave="0" documentId="13_ncr:1_{B6DD60AE-9561-D94B-A746-FCB6C8CBC6A4}" xr6:coauthVersionLast="47" xr6:coauthVersionMax="47" xr10:uidLastSave="{00000000-0000-0000-0000-000000000000}"/>
  <bookViews>
    <workbookView xWindow="0" yWindow="480" windowWidth="25600" windowHeight="15520" activeTab="3" xr2:uid="{30871F4C-6758-644A-A5C7-44AA8D0A81EF}"/>
  </bookViews>
  <sheets>
    <sheet name="Hoja1" sheetId="1" state="hidden" r:id="rId1"/>
    <sheet name="PUBLICADOS Y VENCIDOS" sheetId="3" state="hidden" r:id="rId2"/>
    <sheet name="Publicados Emprestitos" sheetId="4" state="hidden" r:id="rId3"/>
    <sheet name="Publicados Emprestitos nuevo" sheetId="25" r:id="rId4"/>
    <sheet name="Organismos" sheetId="24" r:id="rId5"/>
    <sheet name="Publicados Emprestitos-1" sheetId="23" r:id="rId6"/>
    <sheet name="Cultura 18889" sheetId="5" r:id="rId7"/>
    <sheet name="Cultura 18890" sheetId="6" r:id="rId8"/>
    <sheet name="DATIC 18933" sheetId="7" r:id="rId9"/>
    <sheet name="DATIC 18946" sheetId="8" r:id="rId10"/>
    <sheet name="DATIC 18918" sheetId="9" r:id="rId11"/>
    <sheet name="DEPORTE 18996" sheetId="10" r:id="rId12"/>
    <sheet name="DEPORTE 19000" sheetId="11" r:id="rId13"/>
    <sheet name="DEPORTE 18998" sheetId="12" r:id="rId14"/>
    <sheet name="Infraestructura 19143" sheetId="13" r:id="rId15"/>
    <sheet name="Infraestructura 18472" sheetId="14" r:id="rId16"/>
    <sheet name="Infraestructura 18978" sheetId="15" r:id="rId17"/>
    <sheet name="Infraestructura 19194" sheetId="16" r:id="rId18"/>
    <sheet name="Infraestructura 18984" sheetId="17" r:id="rId19"/>
    <sheet name="Participacion 18986" sheetId="19" r:id="rId20"/>
    <sheet name="Participacion 18970" sheetId="20" r:id="rId21"/>
    <sheet name="Participacion 19383" sheetId="21" r:id="rId22"/>
    <sheet name="Educacion 18910" sheetId="22" r:id="rId23"/>
  </sheets>
  <definedNames>
    <definedName name="_xlnm._FilterDatabase" localSheetId="3" hidden="1">'Publicados Emprestitos nuevo'!$A$39:$AX$70</definedName>
    <definedName name="_xlnm._FilterDatabase" localSheetId="5" hidden="1">'Publicados Emprestitos-1'!$B$5:$AF$5</definedName>
    <definedName name="_xlnm.Print_Area" localSheetId="1">'PUBLICADOS Y VENCIDOS'!$B$1:$L$58</definedName>
    <definedName name="SegmentaciónDeDatos_Emprestito">#REF!</definedName>
    <definedName name="SegmentaciónDeDatos_Emprestito1">#REF!</definedName>
    <definedName name="SegmentaciónDeDatos_Emprestito11">#REF!</definedName>
    <definedName name="SegmentaciónDeDatos_Emprestito12">#REF!</definedName>
    <definedName name="SegmentaciónDeDatos_Estado_Comité_de_Contratación">#REF!</definedName>
    <definedName name="SegmentaciónDeDatos_Organismo">#REF!</definedName>
    <definedName name="SegmentaciónDeDatos_Organismo1">#REF!</definedName>
    <definedName name="SegmentaciónDeDatos_Organismo11">#REF!</definedName>
    <definedName name="SegmentaciónDeDatos_Organismo12">#REF!</definedName>
    <definedName name="SegmentaciónDeDatos_Tipo_de_Contratación">#REF!</definedName>
    <definedName name="SegmentaciónDeDatos_Tipo_de_Contratación1">#REF!</definedName>
    <definedName name="SegmentaciónDeDatos_Tipo_de_Contratación11">#REF!</definedName>
    <definedName name="SegmentaciónDeDatos_Tipo_de_Contratación12">#REF!</definedName>
  </definedNames>
  <calcPr calcId="191029"/>
  <pivotCaches>
    <pivotCache cacheId="2" r:id="rId24"/>
    <pivotCache cacheId="3"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30" i="25" l="1"/>
  <c r="C30" i="25"/>
  <c r="C34" i="25" l="1"/>
  <c r="C32" i="25"/>
  <c r="C31" i="25"/>
  <c r="C29" i="25"/>
  <c r="C28" i="25"/>
  <c r="C27" i="25"/>
  <c r="C26" i="25"/>
  <c r="C25" i="25"/>
  <c r="C24" i="25"/>
  <c r="D35" i="25"/>
  <c r="C35" i="25"/>
  <c r="D34" i="25"/>
  <c r="D33" i="25"/>
  <c r="C33" i="25"/>
  <c r="D32" i="25"/>
  <c r="D31" i="25"/>
  <c r="D29" i="25"/>
  <c r="D28" i="25"/>
  <c r="D27" i="25"/>
  <c r="D26" i="25"/>
  <c r="D25" i="25"/>
  <c r="D24" i="25"/>
  <c r="C23" i="25"/>
  <c r="D23" i="25"/>
  <c r="AL6" i="25" a="1"/>
  <c r="AL6" i="25" s="1"/>
  <c r="A6" i="25"/>
  <c r="M69" i="25"/>
  <c r="M68" i="25"/>
  <c r="M67" i="25"/>
  <c r="M66" i="25"/>
  <c r="M65" i="25"/>
  <c r="M64" i="25"/>
  <c r="M63" i="25"/>
  <c r="M62" i="25"/>
  <c r="M61" i="25"/>
  <c r="M60" i="25"/>
  <c r="M59" i="25"/>
  <c r="M58" i="25"/>
  <c r="M57" i="25"/>
  <c r="M56" i="25"/>
  <c r="M55" i="25"/>
  <c r="M54" i="25"/>
  <c r="M53" i="25"/>
  <c r="M52" i="25"/>
  <c r="M51" i="25"/>
  <c r="M50" i="25"/>
  <c r="M49" i="25"/>
  <c r="M48" i="25"/>
  <c r="M47" i="25"/>
  <c r="M46" i="25"/>
  <c r="M45" i="25"/>
  <c r="M44" i="25"/>
  <c r="M43" i="25"/>
  <c r="M42" i="25"/>
  <c r="M41" i="25"/>
  <c r="M40" i="25"/>
  <c r="A22" i="25"/>
  <c r="A21" i="25"/>
  <c r="A20" i="25"/>
  <c r="A19" i="25"/>
  <c r="A18" i="25"/>
  <c r="A17" i="25"/>
  <c r="A16" i="25"/>
  <c r="A15" i="25"/>
  <c r="A14" i="25"/>
  <c r="A13" i="25"/>
  <c r="A12" i="25"/>
  <c r="A11" i="25"/>
  <c r="A10" i="25"/>
  <c r="A9" i="25"/>
  <c r="A8" i="25"/>
  <c r="A7" i="25"/>
  <c r="AX47" i="25"/>
  <c r="AX46" i="25"/>
  <c r="AX45" i="25"/>
  <c r="AX44" i="25"/>
  <c r="AX43" i="25"/>
  <c r="AX42" i="25"/>
  <c r="AX41" i="25"/>
  <c r="AX40" i="25"/>
  <c r="AX39" i="25"/>
  <c r="AX38" i="25"/>
  <c r="AX35" i="25"/>
  <c r="AX34" i="25"/>
  <c r="AX23" i="25"/>
  <c r="L23" i="25"/>
  <c r="AX22" i="25"/>
  <c r="AX21" i="25"/>
  <c r="AX20" i="25"/>
  <c r="AX19" i="25"/>
  <c r="AX18" i="25"/>
  <c r="AX17" i="25"/>
  <c r="AX16" i="25"/>
  <c r="AX15" i="25"/>
  <c r="AX14" i="25"/>
  <c r="AX13" i="25"/>
  <c r="AX12" i="25"/>
  <c r="AX11" i="25"/>
  <c r="AX10" i="25"/>
  <c r="AX9" i="25"/>
  <c r="AX8" i="25"/>
  <c r="AX7" i="25"/>
  <c r="AX6" i="25"/>
  <c r="AW7" i="23"/>
  <c r="AW8" i="23"/>
  <c r="AW9" i="23"/>
  <c r="AW10" i="23"/>
  <c r="AW11" i="23"/>
  <c r="AW12" i="23"/>
  <c r="AW13" i="23"/>
  <c r="AW14" i="23"/>
  <c r="AW15" i="23"/>
  <c r="AW16" i="23"/>
  <c r="AW17" i="23"/>
  <c r="AW18" i="23"/>
  <c r="AW19" i="23"/>
  <c r="AW20" i="23"/>
  <c r="AW21" i="23"/>
  <c r="AW22" i="23"/>
  <c r="AW23" i="23"/>
  <c r="AW24" i="23"/>
  <c r="AW25" i="23"/>
  <c r="AW26" i="23"/>
  <c r="AW27" i="23"/>
  <c r="AW28" i="23"/>
  <c r="AW29" i="23"/>
  <c r="AW30" i="23"/>
  <c r="AW31" i="23"/>
  <c r="AW32" i="23"/>
  <c r="AW33" i="23"/>
  <c r="AW34" i="23"/>
  <c r="AW35" i="23"/>
  <c r="AW6" i="23"/>
  <c r="AK6" i="23" a="1"/>
  <c r="AK6" i="23" s="1"/>
  <c r="K23" i="23"/>
  <c r="J52" i="4" l="1"/>
  <c r="J29" i="4"/>
  <c r="S70" i="3"/>
  <c r="R70" i="3"/>
  <c r="Q70" i="3"/>
  <c r="P70" i="3"/>
  <c r="U69" i="3"/>
  <c r="T69" i="3"/>
  <c r="U68" i="3"/>
  <c r="T68" i="3"/>
  <c r="U67" i="3"/>
  <c r="T67" i="3"/>
  <c r="U66" i="3"/>
  <c r="T66" i="3"/>
  <c r="U65" i="3"/>
  <c r="T65" i="3"/>
  <c r="U64" i="3"/>
  <c r="T64" i="3"/>
  <c r="U63" i="3"/>
  <c r="T63" i="3"/>
  <c r="U62" i="3"/>
  <c r="T62" i="3"/>
  <c r="U61" i="3"/>
  <c r="T6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H58" authorId="0" shapeId="0" xr:uid="{C12ABB2A-F102-904B-B375-4E89BB30E007}">
      <text>
        <r>
          <rPr>
            <b/>
            <sz val="10"/>
            <color rgb="FF000000"/>
            <rFont val="Tahoma"/>
            <family val="2"/>
          </rPr>
          <t>Microsoft Office User:</t>
        </r>
        <r>
          <rPr>
            <sz val="10"/>
            <color rgb="FF000000"/>
            <rFont val="Tahoma"/>
            <family val="2"/>
          </rPr>
          <t xml:space="preserve">
</t>
        </r>
        <r>
          <rPr>
            <sz val="10"/>
            <color rgb="FF000000"/>
            <rFont val="Tahoma"/>
            <family val="2"/>
          </rPr>
          <t xml:space="preserve">Tene el emkismo ID no esta en base de datos anterior </t>
        </r>
      </text>
    </comment>
    <comment ref="H61" authorId="0" shapeId="0" xr:uid="{739AF59A-B37B-1048-913C-C5BCE1EC7F23}">
      <text>
        <r>
          <rPr>
            <b/>
            <sz val="10"/>
            <color rgb="FF000000"/>
            <rFont val="Tahoma"/>
            <family val="2"/>
          </rPr>
          <t>Microsoft Office User:</t>
        </r>
        <r>
          <rPr>
            <sz val="10"/>
            <color rgb="FF000000"/>
            <rFont val="Tahoma"/>
            <family val="2"/>
          </rPr>
          <t xml:space="preserve">
</t>
        </r>
        <r>
          <rPr>
            <sz val="10"/>
            <color rgb="FF000000"/>
            <rFont val="Tahoma"/>
            <family val="2"/>
          </rPr>
          <t xml:space="preserve">Tiene repetido el ID , , no se encuentra en la base de datos anterior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G46" authorId="0" shapeId="0" xr:uid="{92AFE79E-E35D-094A-B2D0-18FA363E7D1C}">
      <text>
        <r>
          <rPr>
            <b/>
            <sz val="10"/>
            <color rgb="FF000000"/>
            <rFont val="Tahoma"/>
            <family val="2"/>
          </rPr>
          <t>Microsoft Office User:</t>
        </r>
        <r>
          <rPr>
            <sz val="10"/>
            <color rgb="FF000000"/>
            <rFont val="Tahoma"/>
            <family val="2"/>
          </rPr>
          <t xml:space="preserve">
</t>
        </r>
        <r>
          <rPr>
            <sz val="10"/>
            <color rgb="FF000000"/>
            <rFont val="Tahoma"/>
            <family val="2"/>
          </rPr>
          <t xml:space="preserve">Tene el emkismo ID no esta en base de datos anterior </t>
        </r>
      </text>
    </comment>
    <comment ref="G49" authorId="0" shapeId="0" xr:uid="{1503DC64-4FDE-6D4D-96F6-E4379A70F29A}">
      <text>
        <r>
          <rPr>
            <b/>
            <sz val="10"/>
            <color rgb="FF000000"/>
            <rFont val="Tahoma"/>
            <family val="2"/>
          </rPr>
          <t>Microsoft Office User:</t>
        </r>
        <r>
          <rPr>
            <sz val="10"/>
            <color rgb="FF000000"/>
            <rFont val="Tahoma"/>
            <family val="2"/>
          </rPr>
          <t xml:space="preserve">
</t>
        </r>
        <r>
          <rPr>
            <sz val="10"/>
            <color rgb="FF000000"/>
            <rFont val="Tahoma"/>
            <family val="2"/>
          </rPr>
          <t xml:space="preserve">Tiene repetido el ID , , no se encuentra en la base de datos anterior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<sst xmlns="http://schemas.openxmlformats.org/spreadsheetml/2006/main" count="3343" uniqueCount="955">
  <si>
    <t>Emprestito</t>
  </si>
  <si>
    <t>EMPRESTITO</t>
  </si>
  <si>
    <t>LEY DE GARANTIAS</t>
  </si>
  <si>
    <t xml:space="preserve">DELEGACIONES </t>
  </si>
  <si>
    <t>Revisar procesos publicados en platafroma SECOP II</t>
  </si>
  <si>
    <t>Revisar el cargue de todos los docuementos requeridos en el proceso- Formatos , anexos, matrices, fomulario, docuemenbto base </t>
  </si>
  <si>
    <t>Objeto</t>
  </si>
  <si>
    <t xml:space="preserve">Valor </t>
  </si>
  <si>
    <t>Plazo</t>
  </si>
  <si>
    <t>Nro de Proceso</t>
  </si>
  <si>
    <t>Tipo de proceso - Modalidad</t>
  </si>
  <si>
    <t xml:space="preserve">Cronograma </t>
  </si>
  <si>
    <t xml:space="preserve">Estado de crionograma </t>
  </si>
  <si>
    <t xml:space="preserve">Plataforma </t>
  </si>
  <si>
    <t>Pliego tipo</t>
  </si>
  <si>
    <t>Docuemento Base</t>
  </si>
  <si>
    <t>Presupuesto</t>
  </si>
  <si>
    <t xml:space="preserve">Observaciones </t>
  </si>
  <si>
    <t xml:space="preserve">Anexo 2 </t>
  </si>
  <si>
    <t xml:space="preserve">Experiencia - Combinaciones </t>
  </si>
  <si>
    <t>SI</t>
  </si>
  <si>
    <t xml:space="preserve">NO </t>
  </si>
  <si>
    <t>Proximo Comité Ordinario 8 de julio de 2025</t>
  </si>
  <si>
    <t>Regresar</t>
  </si>
  <si>
    <t>De los 38 procesos de emprestitos que ya estan en el PAA, 18 estaban programados para publicarse en JUNIO de 2025, no todos se publicaron y tendran que pedir comité para reprogramar publicacion</t>
  </si>
  <si>
    <t>publicaron entre el 27 y 30 de junio de los 18 programaos para este este mes, solo se presentaron 5  ($50.823 millones) 50%</t>
  </si>
  <si>
    <t>Revisión delegación</t>
  </si>
  <si>
    <t>(Todas)</t>
  </si>
  <si>
    <t>Estado Comité de Contratación</t>
  </si>
  <si>
    <t>Aprobado</t>
  </si>
  <si>
    <t>PROGRAMADO INICIO PAA</t>
  </si>
  <si>
    <t>Resumen en cantidades</t>
  </si>
  <si>
    <t>PUBLICADO</t>
  </si>
  <si>
    <t>(Varios elementos)</t>
  </si>
  <si>
    <t>Bancolombia</t>
  </si>
  <si>
    <t>Organismo</t>
  </si>
  <si>
    <t>BP Proyecto</t>
  </si>
  <si>
    <t>Descripcion BP</t>
  </si>
  <si>
    <t>Proyectos con sus respectivos contratos</t>
  </si>
  <si>
    <t>Tipo de Contratación</t>
  </si>
  <si>
    <t>ID PAA</t>
  </si>
  <si>
    <t>Valor $</t>
  </si>
  <si>
    <t>Cultura</t>
  </si>
  <si>
    <t>Proyecto 1: Mejoramiento de las bibliotecas públicas</t>
  </si>
  <si>
    <t>Contrato 1: Obra civil</t>
  </si>
  <si>
    <t>Licitación Pública</t>
  </si>
  <si>
    <t>Contrato 2:  Interventoria obra civil</t>
  </si>
  <si>
    <t>Concurso de Méritos</t>
  </si>
  <si>
    <t>COMITÉ CONTRATACION</t>
  </si>
  <si>
    <t>DATIC</t>
  </si>
  <si>
    <t>Fortalecimiento de la Plataforma Tecnológica de la Alcaldia de Santiago de Cali</t>
  </si>
  <si>
    <t>Contrato 01: Infraestructura y Seguridad, Conectividad a plataformas en nubes</t>
  </si>
  <si>
    <t>Licitación</t>
  </si>
  <si>
    <t>PRE-RADICADO PAA</t>
  </si>
  <si>
    <t>Contrato 04: Suite Google Workspace</t>
  </si>
  <si>
    <t>Instrumento de Agregación de Demanda</t>
  </si>
  <si>
    <t>Contrato 05: Sistema Mesa de ayuda</t>
  </si>
  <si>
    <t>Directa</t>
  </si>
  <si>
    <t>Cuenta de Valor Contrato</t>
  </si>
  <si>
    <t>Contrato 11: Modernización tecnológica Plataforma Gestión Contractual (PGC) para Uso y apropiación distrital</t>
  </si>
  <si>
    <t>Selección Abreviada de Menor Cuantía</t>
  </si>
  <si>
    <t>Total general</t>
  </si>
  <si>
    <t>Deportes</t>
  </si>
  <si>
    <t>Conservacion de la infraestructura deportiva y recreativa del distrito especial de Santiago de Cali</t>
  </si>
  <si>
    <t>Contrato 1: Obra Mantenimiento 66 escenarios deportivos</t>
  </si>
  <si>
    <t>Deporte</t>
  </si>
  <si>
    <t>Contrato 2 Interventoría del contrato 1</t>
  </si>
  <si>
    <t>Contrato 3: Adecuacion 36 escenarios deportivos y recreativos</t>
  </si>
  <si>
    <t>Educación</t>
  </si>
  <si>
    <t>Mejoramiento a la Infraestructura física de las sedes educativas oficiales de Santiago de Cali</t>
  </si>
  <si>
    <t>Contrato 1: Adecuaciones 22 sedes educativas</t>
  </si>
  <si>
    <t>Desarrollo Económico</t>
  </si>
  <si>
    <t>Fortalecimiento Infraestructura Educativa Sedes Educativas Oficiales</t>
  </si>
  <si>
    <t>Contrato 3: Transferencia FFIE Obras Ley 21 (7 COLEGIOS)</t>
  </si>
  <si>
    <t>Resolucion Transferencia</t>
  </si>
  <si>
    <t>NO VA AL PAA</t>
  </si>
  <si>
    <t>Infraestructura</t>
  </si>
  <si>
    <t>RECUPERACION DE LA INFRAESTRUCTURA VIAL DE SANTIAGO DE CALI</t>
  </si>
  <si>
    <t>Contrato 01: Licitación Puntos estratégicos vias</t>
  </si>
  <si>
    <t>Participación</t>
  </si>
  <si>
    <t>Contrato 02. Interventoria Licitación Puntos estratégicos vias</t>
  </si>
  <si>
    <t>Vivienda</t>
  </si>
  <si>
    <t>Contrato 03: Licitación Cicloinfraestructura</t>
  </si>
  <si>
    <t xml:space="preserve">Contrato 05: Mantenimiento cicloinfraestructura </t>
  </si>
  <si>
    <t>Menor Cuantía</t>
  </si>
  <si>
    <t xml:space="preserve">Contrato 06:  Muros Urbanos </t>
  </si>
  <si>
    <t>Contrato 11: Compra de Maquinaria, vehiculos pesados y equipos</t>
  </si>
  <si>
    <t>Selección Abreviada</t>
  </si>
  <si>
    <t>Contrato 12: Compra de Maquinaria, vehiculos pesados y equipos</t>
  </si>
  <si>
    <t>Fortalecimiento de la oferta habitacional</t>
  </si>
  <si>
    <t>Contrato 1. Subsidios para cierre financiero</t>
  </si>
  <si>
    <t>Resolución de traslado</t>
  </si>
  <si>
    <t>Contrato 3: MISN Santa Elena</t>
  </si>
  <si>
    <t>Suma de Valor Contrato</t>
  </si>
  <si>
    <t>Monto</t>
  </si>
  <si>
    <t># Procesos</t>
  </si>
  <si>
    <t>Incluido en PAA</t>
  </si>
  <si>
    <t>Pendiente</t>
  </si>
  <si>
    <t>Bienestar Social</t>
  </si>
  <si>
    <t>Valor ($)</t>
  </si>
  <si>
    <t>Total</t>
  </si>
  <si>
    <t>CODIGO ORGANISMO</t>
  </si>
  <si>
    <t>ORGANISMO</t>
  </si>
  <si>
    <t>DESCRIPCION</t>
  </si>
  <si>
    <t>VIGENCIA</t>
  </si>
  <si>
    <t>FECHA INICIO</t>
  </si>
  <si>
    <t>FECHA OFERTA</t>
  </si>
  <si>
    <t>DURACION VALOR</t>
  </si>
  <si>
    <t>DURACION INTERVALO</t>
  </si>
  <si>
    <t>MODALIDAD</t>
  </si>
  <si>
    <t>FUENTE RECURSOS</t>
  </si>
  <si>
    <t>FUENTE RECURSOS-VALOR</t>
  </si>
  <si>
    <t>ELEMENTO PEP</t>
  </si>
  <si>
    <t>DESCRIPCION ELEMENTO PEP</t>
  </si>
  <si>
    <t>POSPRE</t>
  </si>
  <si>
    <t>NOMBRE POSPRE</t>
  </si>
  <si>
    <t>VALOR ACTIVIDAD</t>
  </si>
  <si>
    <t>VALOR DISPONIBLE</t>
  </si>
  <si>
    <t>VALOR APROPIADO</t>
  </si>
  <si>
    <t>VALOR TOTAL ESTIMADO</t>
  </si>
  <si>
    <t>VALOR VIGENCIA ACTUAL</t>
  </si>
  <si>
    <t>ESTADO VIGENCIAS</t>
  </si>
  <si>
    <t>ID</t>
  </si>
  <si>
    <t>TIPO DE SOLICITUD</t>
  </si>
  <si>
    <t>CATEGORIA</t>
  </si>
  <si>
    <t>SUBCATEGORIA</t>
  </si>
  <si>
    <t>INCLUSION SOCIAL</t>
  </si>
  <si>
    <t>ESTADO</t>
  </si>
  <si>
    <t>FUENTE RECURSOS FINAL</t>
  </si>
  <si>
    <t>FUNCIONAMIENTO REAL ESTIMADO</t>
  </si>
  <si>
    <t>INVERSIÓN REAL ESTIMADO</t>
  </si>
  <si>
    <t>NÚMERO MODIFICACIONES</t>
  </si>
  <si>
    <t>TIENE PROCESO</t>
  </si>
  <si>
    <t>TIPO DE PLATAFORMA</t>
  </si>
  <si>
    <t>LINK DEL PROCESO</t>
  </si>
  <si>
    <t>VENCIDA</t>
  </si>
  <si>
    <t>JUSTIFICACIÓN VENCIDA</t>
  </si>
  <si>
    <t>NOMBRE ABREVIADO</t>
  </si>
  <si>
    <t>FECHA DE FIRMA DE CONTRATO</t>
  </si>
  <si>
    <t>FONDO</t>
  </si>
  <si>
    <t>PRESUPUESTO PARTICIPATIVO</t>
  </si>
  <si>
    <t>ORIGEN</t>
  </si>
  <si>
    <t>COMUNA</t>
  </si>
  <si>
    <t>PROYECTO</t>
  </si>
  <si>
    <t>PPTO. DISPONIBLE</t>
  </si>
  <si>
    <t>RPC</t>
  </si>
  <si>
    <t>DELEGACIONES</t>
  </si>
  <si>
    <t>ELEMENTO PEP 2</t>
  </si>
  <si>
    <t>LLAVE</t>
  </si>
  <si>
    <t>CDP BLOQUEADO</t>
  </si>
  <si>
    <t>EMPRÉSTITO</t>
  </si>
  <si>
    <t>DELEGACIONES_1</t>
  </si>
  <si>
    <t>DELEGACIONES_2</t>
  </si>
  <si>
    <t>4181</t>
  </si>
  <si>
    <t>Unidad Administrativa Especial de Gestión de Bienes y Servicios</t>
  </si>
  <si>
    <t>(CONVENIO PLAN EDRU) El DISTRITO DEPORTIVO, CULTURAL, TURÍSTICO, EMPRESARIAL Y DE SERVICIOS DE SANTIAGO DE CALI y la EMPRESA DE DESARROLLO Y RENOVACIÓN URBANA, E.I.C.E, (EDRU) celebran el presente convenio para la ejecución de algunos de los proyectos del Plan de Desarrollo: Cali, Capital Pacífica de Colombia, 2024 – 2027, adoptado mediante el Acuerdo Distrital 0578 de 2024, de conformidad al articulo 107 de la ley 489 de 1998 que se identifican en el alcance del presente negocio jurídico lo relacionado con el proyecto de obra de la plaza de mercado Alameda.</t>
  </si>
  <si>
    <t>Julio</t>
  </si>
  <si>
    <t>Meses</t>
  </si>
  <si>
    <t>Contratación Directa - Convenio/Contratos Interadministrativos</t>
  </si>
  <si>
    <t>Inversión - Recursos de crédito</t>
  </si>
  <si>
    <t>Inversión - Recursos de crédito/0</t>
  </si>
  <si>
    <t/>
  </si>
  <si>
    <t>No Solicitada</t>
  </si>
  <si>
    <t>Solicitud de inclusion</t>
  </si>
  <si>
    <t>Servicios</t>
  </si>
  <si>
    <t>Estudios y diseños de arquitectura e ingenieria</t>
  </si>
  <si>
    <t>No Aplica</t>
  </si>
  <si>
    <t>Aprobada</t>
  </si>
  <si>
    <t>Inversión</t>
  </si>
  <si>
    <t>SECOP I</t>
  </si>
  <si>
    <t>https://www.contratos.gov.co/consultas/detalleProceso.do?numConstancia=25-22-109595&amp;g-recaptcha-response=03AFcWeA6Jo0uu7FkMnhVnSILXiPbwwC5keNwm2YC4DSbg5QeqBxNurZSYicBjeYV2Q3smwxo5UFrc8ITMe-oYsPietEnxhV051A46WXjKHH1GA3riahhegEa_-pa7RfbJLuQ9W-XTsLguNU0zj3hgJlAf_z5t743kA5kdKfm13WNNeTP_himLigphJ-UYddoYoIk0-GsgEjDM9z_WmTztOukDVEY2ZoBppyRdEj1JU82VmauSJkkibbzE45NZu2cvGvdL8A8vanDq3_wZu-mlU5DdlvbAY940A2L6jWNOdoCIabYMhCJlIvYQkxEE5HLpa_hk84bX6uTNXEER3zUvgZAyTOnbNvQxgyeosAnxrVECwn05CHxYng9YHZ30Jgs8vqNrjHozZ</t>
  </si>
  <si>
    <t>Bienes y Servicios</t>
  </si>
  <si>
    <t>SIN ELEMENTOS PEP - PLATAFORMA ERROR</t>
  </si>
  <si>
    <t>-19333</t>
  </si>
  <si>
    <t>4148</t>
  </si>
  <si>
    <t>Secretaría de Cultura</t>
  </si>
  <si>
    <t>EMPRÉSTITO – “Mantenimiento de los equipamientos culturales de Santiago de Cali”. El Distrito Santiago de Cali – Secretaria de Cultura requiere contratar la Interventoría técnica, administrativa, financiera y jurídica de las obras civiles para la intervención de reparaciones locativas, modificación, adecuación y demás actividades complementarias para la conservación y mejoramiento de los equipamientos culturales y centros culturales del distrito de Santiago de Cali,  en el marco del proyecto BP-26005340 denominado “Mantenimiento de los equipamientos culturales de Santiago de Cali”. De conformidad con las especificaciones técnicas contempladas en los presentes estudios técnicos.</t>
  </si>
  <si>
    <t>Agosto</t>
  </si>
  <si>
    <t>Dias</t>
  </si>
  <si>
    <t>Concurso de Méritos Abierto</t>
  </si>
  <si>
    <t>Inversión - Recursos de crédito/599955458</t>
  </si>
  <si>
    <t>BP260053401010131</t>
  </si>
  <si>
    <t>Realizar interventoría a las intervenciones de la infraestructura</t>
  </si>
  <si>
    <t>2320202008</t>
  </si>
  <si>
    <t>Solicitada</t>
  </si>
  <si>
    <t>Interventorías</t>
  </si>
  <si>
    <t>SECOP II</t>
  </si>
  <si>
    <t>https://www.secop.gov.co/CO1BusinessLine/Tendering/ContractNoticeView/Index?prevCtxLbl=Buscar+procesos&amp;prevCtxUrl=https%3a%2f%2fwww.secop.gov.co%3a443%2fCO1BusinessLine%2fTendering%2fContractNoticeManagement%2fIndex&amp;notice=CO1.NTC.8533589</t>
  </si>
  <si>
    <t xml:space="preserve">Sin Justificación
</t>
  </si>
  <si>
    <t>Recursos de crédito interno</t>
  </si>
  <si>
    <t>BP26005340</t>
  </si>
  <si>
    <t>BP26005340-18890</t>
  </si>
  <si>
    <t>EMPRÉSTITO – “Mantenimiento de los equipamientos culturales de Santiago de Cali”. El Distrito de Santiago de Cali – Secretaría de Cultura requiere contratar las obras civiles para la intervención de reparaciones locativas, modificación, adecuación y demás actividades complementarias para la conservación y mejoramiento de los equipamientos culturales y centros culturales del distrito de Santiago de Cali.</t>
  </si>
  <si>
    <t>Junio</t>
  </si>
  <si>
    <t>Licitación pública (Obra pública)</t>
  </si>
  <si>
    <t>Inversión - Recursos de crédito/5700377800</t>
  </si>
  <si>
    <t>BP260053401010127</t>
  </si>
  <si>
    <t>Realizar mantenimiento a los equipamientos culturales del territorio 2</t>
  </si>
  <si>
    <t>2320202005</t>
  </si>
  <si>
    <t>Obras</t>
  </si>
  <si>
    <t>Adecuación de insfraestructura física</t>
  </si>
  <si>
    <t>IS - Poblacion Negra, Afrodescendiente, Raizal, Palenquera, Rrom o Gitanas</t>
  </si>
  <si>
    <t>https://community.secop.gov.co/Public/Tendering/OpportunityDetail/Index?noticeUID=CO1.NTC.8352924</t>
  </si>
  <si>
    <t>BP26005340-18889</t>
  </si>
  <si>
    <t>4134</t>
  </si>
  <si>
    <t>Departamento Administrativo de Tecnologías de la Información y las Comunicaciones</t>
  </si>
  <si>
    <t xml:space="preserve">EMPRESTITO -  BP- 26005260 Fortalecimiento de la Plataforma tecnológica de la Alcaldía de Santiago de Cali.- Adquirir herramienta para habilitar y operar la Mesa de Servicios, con el fin de gestionar de manera integral los servicios de Tecnologías de la Información (TI) y otros servicios transversales en la Alcaldía de Santiago de Cali.
</t>
  </si>
  <si>
    <t xml:space="preserve">Contratación Directa - Único Proveedor </t>
  </si>
  <si>
    <t>Inversión - Recursos de crédito/500000000</t>
  </si>
  <si>
    <t>BP260052601010120</t>
  </si>
  <si>
    <t>Realizar el soporte, mantenimiento y actualización del software</t>
  </si>
  <si>
    <t>Servicios tecnologicos - creacion, soporte, actualización y mantenimiento de software</t>
  </si>
  <si>
    <t>https://www.secop.gov.co/CO1BusinessLine/Tendering/ContractNoticeView/Index?prevCtxLbl=Buscar+procesos&amp;prevCtxUrl=https%3a%2f%2fwww.secop.gov.co%3a443%2fCO1BusinessLine%2fTendering%2fContractNoticeManagement%2fIndex&amp;notice=CO1.NTC.8536225</t>
  </si>
  <si>
    <t>BP26005260</t>
  </si>
  <si>
    <t>BP26005260-18946</t>
  </si>
  <si>
    <t xml:space="preserve">EMPRESTITO- BP- 26005260. Nombre del Proyecto: Fortalecimiento de la Plataforma tecnológica de la Alcaldía de Santiago de Cali.-  Contratar la modernización tecnológica de la Plataforma de Gestión Contractual (PGC), con el fin de fortalecer su uso y apropiación a nivel distrital. </t>
  </si>
  <si>
    <t>Selección Abreviada Menor Cuantía</t>
  </si>
  <si>
    <t>Inversión - Recursos de crédito/260000000</t>
  </si>
  <si>
    <t>solicitud de modificacion</t>
  </si>
  <si>
    <t>https://community.secop.gov.co/Public/Tendering/OpportunityDetail/Index?noticeUID=CO1.NTC.8441712&amp;isFromPublicArea=True&amp;isModal=False</t>
  </si>
  <si>
    <t>BP26005260-18933</t>
  </si>
  <si>
    <t>EMPRESTITO - Fortalecimiento de la Plataforma Tecnológica de la Alcaldía de Santiago de Cali- Implementar soluciones tecnológicas para modernizar la infraestructura de la entidad, optimizar la gestión de bases de datos y sistemas de información, garantizar la seguridad informática, fortalecer los sistemas de recuperación ante desastres y respaldo de información On-Premise para la Alcaldía del Distrito Especial de Santiago de Cali.</t>
  </si>
  <si>
    <t>Septiembre</t>
  </si>
  <si>
    <t>Licitación pública</t>
  </si>
  <si>
    <t>Inversión - Recursos de crédito/15661471447</t>
  </si>
  <si>
    <t>BP260052601010116</t>
  </si>
  <si>
    <t>Adquirir equipos tecnológicos para el centro de datos de la Administración</t>
  </si>
  <si>
    <t>23201010030302</t>
  </si>
  <si>
    <t>Bienes</t>
  </si>
  <si>
    <t>Suministros de maquinaria, equipos eléctricos y electrónicos</t>
  </si>
  <si>
    <t>https://www.secop.gov.co/CO1BusinessLine/Tendering/ContractNoticeView/Index?prevCtxLbl=Buscar+procesos&amp;prevCtxUrl=https%3a%2f%2fwww.secop.gov.co%3a443%2fCO1BusinessLine%2fTendering%2fContractNoticeManagement%2fIndex&amp;notice=CO1.NTC.8547026</t>
  </si>
  <si>
    <t>BP26005260-18918</t>
  </si>
  <si>
    <t>4162</t>
  </si>
  <si>
    <t>Secretaría del Deporte y la Recreación</t>
  </si>
  <si>
    <t xml:space="preserve">REALIZAR LAS ADECUACIONES DE CANCHAS MULTIPLES, JUEGOS INFANTILES Y CANCHA SINTETICA DE LOS ESCENARIOS Y ESPACIOS  DEPORTIVOS PRIORIZADOS  DEL DISTRITO ESPECIAL DE SANTIAGO DE CALI, CON RECURSOS DEL EMPRESTITO.
</t>
  </si>
  <si>
    <t>Inversión - Recursos de crédito/3868314995</t>
  </si>
  <si>
    <t>BP260053991010169</t>
  </si>
  <si>
    <t>Realizar adecuaciones a la infraestructura deportiva dde los escenarios deportivos y recreativos</t>
  </si>
  <si>
    <t>https://community.secop.gov.co/Public/Tendering/OpportunityDetail/Index?noticeUID=CO1.NTC.8427829</t>
  </si>
  <si>
    <t>BP26005399</t>
  </si>
  <si>
    <t>BP26005399-19000</t>
  </si>
  <si>
    <t>REALIZAR LA INTERVENTORIA INTEGRAL: TECNICA, ADMINISTRATIVA, FINANCIERA, JURIDICA, SOCIAL Y AMBIENTAL AL CONTRATO DE OBRA DERIVADO DEL PROCESO  DE EMPRESTITO LICITACION #1 CUYO OBJETO ES  "REALIZAR  MANTENIMIENTO DE CANCHAS MULTIPLES Y CANCHAS SINTETICAS DE LOS ESCENARIOS Y ESPACIOS  DEPORTIVOS PRIORIZADOS  DEL DISTRITO ESPECIAL DE SANTIAGO DE CALI, CON RECURSOS DEL EMPRESTITO".</t>
  </si>
  <si>
    <t>Inversión con Recursos propios</t>
  </si>
  <si>
    <t>Inversión con Recursos propios/403637903</t>
  </si>
  <si>
    <t>BP260053991010172</t>
  </si>
  <si>
    <t xml:space="preserve"> Realizar interventoría de los procesos de mantenimiento de la infraestructura deportiva y recreativa de los escenarios</t>
  </si>
  <si>
    <t>https://community.secop.gov.co/Public/Tendering/OpportunityDetail/Index?noticeUID=CO1.NTC.8455068</t>
  </si>
  <si>
    <t>BP26005399-18998</t>
  </si>
  <si>
    <t>REALIZAR  MANTENIMIENTO DE CANCHAS MULTIPLES Y CANCHAS SINTETICAS DE LOS ESCENARIOS Y ESPACIOS  DEPORTIVOS PRIORIZADOS  DEL DISTRITO ESPECIAL DE SANTIAGO DE CALI, CON RECURSOS DEL EMPRESTITO.</t>
  </si>
  <si>
    <t>Inversión - Recursos de crédito/5045473784</t>
  </si>
  <si>
    <t>BP260053991010171</t>
  </si>
  <si>
    <t>Realizar mantenimiento a la infraestructura deportiva de los escenarios deportivos y recreativos</t>
  </si>
  <si>
    <t>https://www.secop.gov.co/CO1BusinessLine/Tendering/ContractNoticeView/Index?prevCtxLbl=Buscar+procesos&amp;prevCtxUrl=https%3a%2f%2fwww.secop.gov.co%3a443%2fCO1BusinessLine%2fTendering%2fContractNoticeManagement%2fIndex&amp;notice=CO1.NTC.8351748</t>
  </si>
  <si>
    <t>BP26005399-18996</t>
  </si>
  <si>
    <t>4143</t>
  </si>
  <si>
    <t>Secretaría de Educación</t>
  </si>
  <si>
    <t>EMPRESTITO - "MEJORAMIENTO A LA INFRAESTRUCTURA FÍSICA DE LAS SEDES EDUCATIVAS OFICIALES PARA LAS VIGENCIAS 2024-2028 EN SANTIAGO DE CALI"  - EJECUTAR POR EL SISTEMA DE PRECIOS UNITARIOS FIJOS, SIN FÓRMULA DE REAJUSTE LA CONSTRUCCIÓN DE OBRAS PARA LA ADECUACIÓN DE LAS SIGUIENTES SEDES EDUCATIVAS OFICIALES: IEO LUIS FERNANDO CAICEDO SEDE PRINCIPAL – COM. 1, IEO VEINTE DE JULIO SEDE CRISTINA SERRANO – COM. 4, IEO SANTA FE SEDE ESTADO DE PUERTO RICO – COM. 8, IEO JUAN DE AMPUDIA SEDE ONCE DE NOVIEMBRE – COM. 8, IEO CARLOS HOLGUIN LLOREDA SEDE SANTA ELENA – COM. 10, IEO POLITECNICO MUNICIPAL SEDE JHON F KENNEDY – COM. 18, IEO BOYACA SEDE LA INDEPENDENCIA – COM. 11, IEO VIVAS BALCAZAR SEDE SANTO DOMINGO – COM. 10, IEO CARLOS HOLGUIN MALLARINO SEDE MIGUEL DE POMBO – COM. 15, IEO ISAIAS GAMBOA SEDE PRINCIPAL – COM. 1, IEO LICEO DEPARTAMENTAL SEDE LA GRAN COLOMBIA – COM. 19, IEO EUSTAQUIO PALACIOS SEDE MANUEL MARIA BUENAVENTURA – COM. 20, IEO LOS ANDES JUAN PABLO I -  CORREG. LOS ANDES, IEO FELIDIA SEDE CRISTOBAL COLON – CORREG. FELIDIA, IEO SIMON RODRIGUEZ SEDE MARIA PANESSO – COM. 5, IEO DESEPAZ SEDE PRINCIPAL – COM. 21, IEO FELIDIA SEDE REPUBLICA DE CUBA – CORREG. FELIDIA, IEO RAFAEL NAVIA VARON SEDE PRINCIPAL – COM. 10, IEO VILLA COLOMBIA SEDE SANTISIMA TRINIDAD – COM. 8, IEO LA BUITRERA SEDE SAN GABRIEL – CORREG. LA BUITRERA.</t>
  </si>
  <si>
    <t>Octubre</t>
  </si>
  <si>
    <t>Inversión - Recursos de crédito/9500000000</t>
  </si>
  <si>
    <t>BP260047011010234</t>
  </si>
  <si>
    <t>Realizar obras de adecuación en Sedes Educativas Oficiales</t>
  </si>
  <si>
    <t>IS - Mujer Cabeza da Familia;IS - Poblacion con Discapacidad o Diversidad Funcional;SA - Infraestructura Fisica</t>
  </si>
  <si>
    <t>https://www.secop.gov.co/CO1BusinessLine/Tendering/ContractNoticeView/Index?prevCtxLbl=Buscar+procesos&amp;prevCtxUrl=https%3a%2f%2fwww.secop.gov.co%3a443%2fCO1BusinessLine%2fTendering%2fContractNoticeManagement%2fIndex&amp;notice=CO1.NTC.8552731</t>
  </si>
  <si>
    <t>BP26004701</t>
  </si>
  <si>
    <t>BP26004701-18910</t>
  </si>
  <si>
    <t>4131</t>
  </si>
  <si>
    <t>Departamento Administrativo de Hacienda Municipal</t>
  </si>
  <si>
    <t>Mediante el presente EL PRESTAMISTA se obliga a otorgar a EL PRESTATARIO un Empréstito Interno y de pignoración de rentas hasta por la suma de DOSCIENTOS CINCUENTA MIL MILLONES DE PESOS ($250.000.000.000) MONEDA LEGAL COLOMBIANA. EL PRESTATARIO se obliga a destinar los recursos provenientes de este Contrato de Empréstito interno y de pignoración de rentas para financiar proyectos del Plan de Desarrollo del Distrito Especial de Santiago de Cali “CALI, CAPITAL PACIFICA DE COLOMBIA” 2024 – 2027</t>
  </si>
  <si>
    <t>Contratación directa - Empréstitos,  manejo de deuda publica y conexas</t>
  </si>
  <si>
    <t>Servicios administrativos financieros y de tercerización</t>
  </si>
  <si>
    <t>https://www.secop.gov.co/CO1BusinessLine/Tendering/ContractNoticeView/Index?prevCtxLbl=Buscar+procesos&amp;prevCtxUrl=https%3a%2f%2fwww.secop.gov.co%3a443%2fCO1BusinessLine%2fTendering%2fContractNoticeManagement%2fIndex&amp;notice=CO1.NTC.8534561</t>
  </si>
  <si>
    <t>Hacienda</t>
  </si>
  <si>
    <t>-19385</t>
  </si>
  <si>
    <t xml:space="preserve">Mediante el presente contrato EL PRESTAMISTA se obliga a otorgar a EL PRESTATARIO un Empréstito Interno y de pignoración de rentas hasta por la suma de CINCUENTA Y CUATRO MIL OCHOCIENTOS CINCUENTA Y TRES MILLONES TRESCIENTOS VEINTINUEVE MIL TRESCIENTOS OCHENTA Y TRES PESOS MONEDA LEGAL COLOMBIANA ($54.853.329.383). EL PRESTATARIO se obliga a destinar los recursos provenientes de este Contrato de Empréstito interno y de pignoración de rentas para pagar de manera anticipada la deuda contenida en el contrato de empréstito No. 4131.010.26.1.1817 del 2021 suscrito con el banco DAVIVIENDA S.A. </t>
  </si>
  <si>
    <t>https://community.secop.gov.co/Public/Tendering/OpportunityDetail/Index?noticeUID=CO1.NTC.8350763</t>
  </si>
  <si>
    <t>-19124</t>
  </si>
  <si>
    <t>4151</t>
  </si>
  <si>
    <t>Secretaría de Infraestructura</t>
  </si>
  <si>
    <t xml:space="preserve">Realizar obras de estabilización y construcción de muros de contención en el Distrito de Santiago de Cali zona urbana </t>
  </si>
  <si>
    <t>Inversión - Recursos de crédito/810601805</t>
  </si>
  <si>
    <t>BP260053751010306</t>
  </si>
  <si>
    <t>Realizar obras de infraestructura hidráulica en la zona urbana del Distrito de Santiago de Cali</t>
  </si>
  <si>
    <t>Construcción y Adecuación de sistemas de acueducto y alcantarillado (PTAR, PTARD y PTAP)</t>
  </si>
  <si>
    <t>IS - Jovenes Desescolarizados y Graduados de Bachillerato de Estratos 1 y 2</t>
  </si>
  <si>
    <t>https://www.secop.gov.co/CO1BusinessLine/Tendering/ContractNoticeView/Index?prevCtxLbl=Buscar+procesos&amp;prevCtxUrl=https%3a%2f%2fwww.secop.gov.co%3a443%2fCO1BusinessLine%2fTendering%2fContractNoticeManagement%2fIndex&amp;notice=CO1.NTC.8534771</t>
  </si>
  <si>
    <t>BP26005375</t>
  </si>
  <si>
    <t>BP26005375-19194</t>
  </si>
  <si>
    <t xml:space="preserve">EMPRESTITO - ADQUIRIR MAQUINARIA AMARILLA, VEHICULOS PESADOS Y EQUIPOS ESPECIALIZADOS PARA REALIZAR EL MANTENIMIENTO, REHABILITACIÓN, MEJORAMIENTO Y RECUPERACIÓN DE LA INFRAESTRUCTURA VIAL </t>
  </si>
  <si>
    <t>Selección abreviada subasta inversa</t>
  </si>
  <si>
    <t>Inversión - Recursos de crédito;Inversión con Recursos propios</t>
  </si>
  <si>
    <t>Inversión - Recursos de crédito/75972349756;Inversión con Recursos propios/52123033</t>
  </si>
  <si>
    <t>BP260053241010104</t>
  </si>
  <si>
    <t>Adquisición de herramienta menor para labores de intervención de demolición y despeje en zonas afectadas por asentamientos en el Plan Jarillón</t>
  </si>
  <si>
    <t>23201010030202</t>
  </si>
  <si>
    <t>Suministros y maquinaria agropecuaria</t>
  </si>
  <si>
    <t>https://www.secop.gov.co/CO1BusinessLine/Tendering/ContractNoticeView/Index?prevCtxLbl=Buscar+procesos&amp;prevCtxUrl=https%3a%2f%2fwww.secop.gov.co%3a443%2fCO1BusinessLine%2fTendering%2fContractNoticeManagement%2fIndex&amp;notice=CO1.NTC.8430025</t>
  </si>
  <si>
    <t>Ingresos corrientes de Libre Destinación</t>
  </si>
  <si>
    <t>BP26005324</t>
  </si>
  <si>
    <t>BP26005324-19143</t>
  </si>
  <si>
    <t xml:space="preserve">EMPRESTITO  - Realizar interventoría integral a obras de mantenimiento vía, obras de drenaje y estabilización de terrenos en zona rural y urbana de la ciudad de Santiago de Cali </t>
  </si>
  <si>
    <t>Inversión - Recursos de crédito/3441149545;Inversión con Recursos propios/186464445</t>
  </si>
  <si>
    <t>BP260053751020505</t>
  </si>
  <si>
    <t>Realizar interventoría del mantenimiento de ciclo infraestructura.</t>
  </si>
  <si>
    <t>IS - Jovenes que se Vinculen al Primer Empleo</t>
  </si>
  <si>
    <t>https://www.secop.gov.co/CO1BusinessLine/Tendering/ContractNoticeView/Index?prevCtxLbl=Buscar+procesos&amp;prevCtxUrl=https%3a%2f%2fwww.secop.gov.co%3a443%2fCO1BusinessLine%2fTendering%2fContractNoticeManagement%2fIndex&amp;notice=CO1.NTC.8505732</t>
  </si>
  <si>
    <t>BP26005375-18984</t>
  </si>
  <si>
    <t>EMPRÉSTITO - Realizar obras de mantenimiento de vías incluyendo ciclo infraestructura y mejoramiento para la infraestructura vial del Distrito de Santiago de Cali</t>
  </si>
  <si>
    <t>Inversión - Recursos de crédito/32527849269</t>
  </si>
  <si>
    <t>BP260053751010101</t>
  </si>
  <si>
    <t>Realizar el mantenimiento periódico y/o rutinario de las vías urbanas del Distrito</t>
  </si>
  <si>
    <t>Construcción y adecuación de obras, vías y andenes</t>
  </si>
  <si>
    <t>IS - Adulto no Beneficiario de Pension de Vejez</t>
  </si>
  <si>
    <t>https://community.secop.gov.co/Public/Tendering/OpportunityDetail/Index?noticeUID=CO1.NTC.8357715&amp;isFromPublicArea=True&amp;isModal=False</t>
  </si>
  <si>
    <t>BP26005375-18978</t>
  </si>
  <si>
    <t>EMPRESTITO - Realizar la construcción y mantenimiento de ciclo infraestructura en el Distrito</t>
  </si>
  <si>
    <t>Inversión - Recursos de crédito/3867234367;Inversión con Recursos propios/2506082136</t>
  </si>
  <si>
    <t>BP260053751020504</t>
  </si>
  <si>
    <t>Realizar mantenimiento de ciclo infraestructura en el Distrito</t>
  </si>
  <si>
    <t>https://community.secop.gov.co/Public/Tendering/OpportunityDetail/Index?noticeUID=CO1.NTC.8358720&amp;isFromPublicArea=True&amp;isModal=False</t>
  </si>
  <si>
    <t>BP26005375-18472</t>
  </si>
  <si>
    <t>4173</t>
  </si>
  <si>
    <t>Secretaría de Desarrollo Territorial y Participación Ciudadana</t>
  </si>
  <si>
    <t>EMPRESTITO-Realizar el mantenimiento preventivo y correctivo de los equipamientos institucionales del Distrito Especial de Santiago de Cali: Centros de Administración Local Integrada en la comuna 19, bajo el sistema de precios unitarios fijos sin fórmula de reajuste, correspondiente al proyecto BP-26005393</t>
  </si>
  <si>
    <t>Inversión - Recursos de crédito/2400326473</t>
  </si>
  <si>
    <t>BP260053932010117</t>
  </si>
  <si>
    <t>Realizar mantenimiento preventivo y correctivo a los Centros de Administración Local Integrada</t>
  </si>
  <si>
    <t>SA - Infraestructura Fisica</t>
  </si>
  <si>
    <t>https://www.secop.gov.co/CO1BusinessLine/Tendering/ContractNoticeView/Index?prevCtxLbl=Buscar+procesos&amp;prevCtxUrl=https%3a%2f%2fwww.secop.gov.co%3a443%2fCO1BusinessLine%2fTendering%2fContractNoticeManagement%2fIndex&amp;notice=CO1.NTC.8534787</t>
  </si>
  <si>
    <t>BP26005393</t>
  </si>
  <si>
    <t>BP26005393-19383</t>
  </si>
  <si>
    <t>Emprestito- Realizar el mantenimiento preventivo y correctivo de los equipamientos institucionales del Distrito Especial de Santiago de Cali: Centros de Administración Local Integrada (CALI) de las comunas 12, 13, 18 y 20, bajo el sistema de precios unitarios fijos sin fórmula de reajuste, correspondiente al proyecto BP-26005393.</t>
  </si>
  <si>
    <t>Inversión - Recursos de crédito/1176046140</t>
  </si>
  <si>
    <t>https://www.secop.gov.co/CO1BusinessLine/Tendering/ContractNoticeView/Index?prevCtxLbl=Buscar+procesos&amp;prevCtxUrl=https%3a%2f%2fwww.secop.gov.co%3a443%2fCO1BusinessLine%2fTendering%2fContractNoticeManagement%2fIndex&amp;notice=CO1.NTC.8360159</t>
  </si>
  <si>
    <t>BP26005393-18986</t>
  </si>
  <si>
    <t>EMPRESTITO: Realizar el mantenimiento preventivo y correctivo de los equipamientos institucionales del Distrito Especial de Santiago de Cali: Centros de Administración Local Integrada (CALI) de las comunas 3, 9, 17, 21 y 22, bajo el sistema de precios unitarios fijos sin fórmula de reajuste, correspondiente al proyecto BP-26005393.</t>
  </si>
  <si>
    <t>Inversión - Recursos de crédito/2753325060</t>
  </si>
  <si>
    <t>https://www.secop.gov.co/CO1BusinessLine/Tendering/ContractNoticeView/Index?prevCtxLbl=Buscar+procesos&amp;prevCtxUrl=https%3a%2f%2fwww.secop.gov.co%3a443%2fCO1BusinessLine%2fTendering%2fContractNoticeManagement%2fIndex&amp;notice=CO1.NTC.8361856</t>
  </si>
  <si>
    <t>BP26005393-18970</t>
  </si>
  <si>
    <t>Bibliotecas</t>
  </si>
  <si>
    <t xml:space="preserve">ontratar la modernización tecnológica de la Plataforma de Gestión Contractual (PGC), con el fin de fortalecer su uso y apropiación a nivel distrital. </t>
  </si>
  <si>
    <t>I</t>
  </si>
  <si>
    <t>4148.010.32.1.0979-2025</t>
  </si>
  <si>
    <t>O</t>
  </si>
  <si>
    <t>Objeto :</t>
  </si>
  <si>
    <t>INTERVENTORIA TÉCNICA, ADMINISTRATIVA, FINANCIERA Y JURÍDICA DE LAS OBRAS CIVILES PARA LA INTERVENCIÓN DE REPARACIONES LOCATIVAS, MODIFICACIÓN, ADECUACIÓN Y DEMÁS ACTIVIDADES COMPLEMENTARIAS PARA LA C</t>
  </si>
  <si>
    <t xml:space="preserve">VALOR 
TOTAL 
</t>
  </si>
  <si>
    <t>Columna1</t>
  </si>
  <si>
    <t>EL DISTRITO DE SANTIAGO DE CALI - SECRETARÍA DE CULTURA REQUIERE CONTRATAR LAS OBRAS CIVILES PARA LA INTERVENCIÓN DE REPARACIONES LOCATIVAS, MODIFICACIÓN, ADECUACIÓN Y DEMÁS ACTIVIDADES COMPLEMENTARIAS PARA LA CONSERVACIÓN Y MEJORAMIENTO DE LOS EQUIPAMIENTOS CULTURALES Y CENTROS CULTURALES DEL DISTRITO DE SANTIAGO DE CALI</t>
  </si>
  <si>
    <t xml:space="preserve"> INTERVENTORÍA TÉCNICA, ADMINISTRATIVA, FINANCIERA Y JURÍDICA DE LAS OBRAS CIVILES PARA LA INTERVENCIÓN DE REPARACIONES LOCATIVAS, MODIFICACIÓN, ADECUACIÓN Y DEMÁS ACTIVIDADES COMPLEMENTARIAS PARA LA CONSERVACIÓN Y MEJORAMIENTO DE LOS EQUIPAMIENTOS CULTURALES Y CENTROS CULTURALES DEL DISTRITO DE SANTIAGO DE CALI"</t>
  </si>
  <si>
    <t>4148.010.32.1.1064-2025</t>
  </si>
  <si>
    <t>Segun cronograma de platafroma el proceso ya tenia que haber firmado contrato , pro no se evidencia publicacion pliego definitivo.No se evidencia Apertura del proceso</t>
  </si>
  <si>
    <t>Publicación del informe de evaluación de las Ofertas	1 día de tiempo transcurrido (20/08/2025 5:00:00 PM(UTC-05:00) Bogotá, Lima, Quito. No se evidencia Apertura del proceso (pliegos definitivos . Anexos , matrices, formularios, respuestas oibservaciones )</t>
  </si>
  <si>
    <t>CONTRATAR LA MODERNIZACIÓN TECNOLÓGICA DE LA PLATAFORMA DE GESTIÓN CONTRACTUAL (PGC), CON EL FIN DE FORTALECER SU USO Y APROPIACIÓN A NIVEL DISTRITAL.</t>
  </si>
  <si>
    <t>Columna2</t>
  </si>
  <si>
    <t>Columna3</t>
  </si>
  <si>
    <t xml:space="preserve">VALOR 
PLATAFORMA
</t>
  </si>
  <si>
    <t>MODALIDAD]</t>
  </si>
  <si>
    <t xml:space="preserve">Licitacion publica </t>
  </si>
  <si>
    <t>Concurso de meritos</t>
  </si>
  <si>
    <t xml:space="preserve">Minima cuantia </t>
  </si>
  <si>
    <t>Columna12</t>
  </si>
  <si>
    <t>Columna13</t>
  </si>
  <si>
    <t>4134.010.32.1.0158-2025</t>
  </si>
  <si>
    <t>Columna122</t>
  </si>
  <si>
    <t>4 (Meses)</t>
  </si>
  <si>
    <t>Si</t>
  </si>
  <si>
    <t>No</t>
  </si>
  <si>
    <t>Zona horaria: (UTC-05:00) Bogotá, Lima, QuitoPlazo de validez de las ofertas:60 (Días) Publicación del aviso de convocatoria pública</t>
  </si>
  <si>
    <r>
      <t>14/07/2025 11:59:00 PM </t>
    </r>
    <r>
      <rPr>
        <i/>
        <sz val="10"/>
        <color rgb="FF808080"/>
        <rFont val="Calibri"/>
        <family val="2"/>
        <scheme val="minor"/>
      </rPr>
      <t>((UTC-05:00) Bogotá, Lima, Quito)</t>
    </r>
  </si>
  <si>
    <t> Publicación de estudios previos</t>
  </si>
  <si>
    <t> Fecha de publicación del proyecto de pliego de condiciones</t>
  </si>
  <si>
    <r>
      <t>15/07/2025 2:25:34 PM </t>
    </r>
    <r>
      <rPr>
        <i/>
        <sz val="10"/>
        <color rgb="FF808080"/>
        <rFont val="Calibri"/>
        <family val="2"/>
        <scheme val="minor"/>
      </rPr>
      <t>((UTC-05:00) Bogotá, Lima, Quito)</t>
    </r>
  </si>
  <si>
    <t> Plazo para presentar observaciones al proyecto de Pliego de Condiciones</t>
  </si>
  <si>
    <r>
      <t>21/07/2025 5:00:00 AM </t>
    </r>
    <r>
      <rPr>
        <i/>
        <sz val="10"/>
        <color rgb="FF808080"/>
        <rFont val="Calibri"/>
        <family val="2"/>
        <scheme val="minor"/>
      </rPr>
      <t>((UTC-05:00) Bogotá, Lima, Quito)</t>
    </r>
  </si>
  <si>
    <t> Plazo para manifestación de interés de limitar la convocatoria a Mypes y/o MiPymes</t>
  </si>
  <si>
    <r>
      <t>29 días de tiempo transcurrido </t>
    </r>
    <r>
      <rPr>
        <i/>
        <sz val="10"/>
        <color rgb="FF808080"/>
        <rFont val="Calibri"/>
        <family val="2"/>
        <scheme val="minor"/>
      </rPr>
      <t>(24/07/2025 5:00:00 AM(UTC-05:00) Bogotá, Lima, Quito)</t>
    </r>
  </si>
  <si>
    <t> Respuesta a las observaciones al Pliego de Condiciones</t>
  </si>
  <si>
    <r>
      <t>30 días de tiempo transcurrido </t>
    </r>
    <r>
      <rPr>
        <i/>
        <sz val="10"/>
        <color rgb="FF808080"/>
        <rFont val="Calibri"/>
        <family val="2"/>
        <scheme val="minor"/>
      </rPr>
      <t>(22/07/2025 12:00:00 PM(UTC-05:00) Bogotá, Lima, Quito)</t>
    </r>
  </si>
  <si>
    <t> Fecha Prevista de Publicación del Pliego de Condiciones Definitivo y Demonstración de Interés</t>
  </si>
  <si>
    <r>
      <t>28 días de tiempo transcurrido </t>
    </r>
    <r>
      <rPr>
        <i/>
        <sz val="10"/>
        <color rgb="FF808080"/>
        <rFont val="Calibri"/>
        <family val="2"/>
        <scheme val="minor"/>
      </rPr>
      <t>(25/07/2025 5:00:00 AM(UTC-05:00) Bogotá, Lima, Quito)</t>
    </r>
  </si>
  <si>
    <t> Expedición y publicación acto administrativo de apertura del proceso de selección</t>
  </si>
  <si>
    <t> Plazo para manifestación de Interés</t>
  </si>
  <si>
    <r>
      <t>25 días de tiempo transcurrido </t>
    </r>
    <r>
      <rPr>
        <i/>
        <sz val="10"/>
        <color rgb="FF808080"/>
        <rFont val="Calibri"/>
        <family val="2"/>
        <scheme val="minor"/>
      </rPr>
      <t>(28/07/2025 5:00:00 AM(UTC-05:00) Bogotá, Lima, Quito)</t>
    </r>
  </si>
  <si>
    <t> Presentación de Observaciones a los Pliegos de Condiciones definitivos</t>
  </si>
  <si>
    <r>
      <t>22 días de tiempo transcurrido </t>
    </r>
    <r>
      <rPr>
        <i/>
        <sz val="10"/>
        <color rgb="FF808080"/>
        <rFont val="Calibri"/>
        <family val="2"/>
        <scheme val="minor"/>
      </rPr>
      <t>(31/07/2025 5:00:00 AM(UTC-05:00) Bogotá, Lima, Quito)</t>
    </r>
  </si>
  <si>
    <r>
      <t>18 días de tiempo transcurrido </t>
    </r>
    <r>
      <rPr>
        <i/>
        <sz val="10"/>
        <color rgb="FF808080"/>
        <rFont val="Calibri"/>
        <family val="2"/>
        <scheme val="minor"/>
      </rPr>
      <t>(4/08/2025 5:00:00 AM(UTC-05:00) Bogotá, Lima, Quito)</t>
    </r>
  </si>
  <si>
    <t> Plazo máximo para expedir adendas</t>
  </si>
  <si>
    <r>
      <t>16 días de tiempo transcurrido </t>
    </r>
    <r>
      <rPr>
        <i/>
        <sz val="10"/>
        <color rgb="FF808080"/>
        <rFont val="Calibri"/>
        <family val="2"/>
        <scheme val="minor"/>
      </rPr>
      <t>(5/08/2025 7:00:00 PM(UTC-05:00) Bogotá, Lima, Quito)</t>
    </r>
  </si>
  <si>
    <t> Presentación de Ofertas</t>
  </si>
  <si>
    <r>
      <t>16 días de tiempo transcurrido </t>
    </r>
    <r>
      <rPr>
        <i/>
        <sz val="10"/>
        <color rgb="FF808080"/>
        <rFont val="Calibri"/>
        <family val="2"/>
        <scheme val="minor"/>
      </rPr>
      <t>(6/08/2025 5:00:00 AM(UTC-05:00) Bogotá, Lima, Quito)</t>
    </r>
  </si>
  <si>
    <t> Apertura de Ofertas</t>
  </si>
  <si>
    <r>
      <t>16 días de tiempo transcurrido </t>
    </r>
    <r>
      <rPr>
        <i/>
        <sz val="10"/>
        <color rgb="FF808080"/>
        <rFont val="Calibri"/>
        <family val="2"/>
        <scheme val="minor"/>
      </rPr>
      <t>(6/08/2025 5:05:00 AM(UTC-05:00) Bogotá, Lima, Quito)</t>
    </r>
  </si>
  <si>
    <t> Informe de presentación de Ofertas</t>
  </si>
  <si>
    <r>
      <t>16 días de tiempo transcurrido </t>
    </r>
    <r>
      <rPr>
        <i/>
        <sz val="10"/>
        <color rgb="FF808080"/>
        <rFont val="Calibri"/>
        <family val="2"/>
        <scheme val="minor"/>
      </rPr>
      <t>(6/08/2025 5:15:00 AM(UTC-05:00) Bogotá, Lima, Quito)</t>
    </r>
  </si>
  <si>
    <t> Publicación del informe de evaluación de las Ofertas</t>
  </si>
  <si>
    <r>
      <t>14 días de tiempo transcurrido </t>
    </r>
    <r>
      <rPr>
        <i/>
        <sz val="10"/>
        <color rgb="FF808080"/>
        <rFont val="Calibri"/>
        <family val="2"/>
        <scheme val="minor"/>
      </rPr>
      <t>(8/08/2025 5:00:00 AM(UTC-05:00) Bogotá, Lima, Quito)</t>
    </r>
  </si>
  <si>
    <t> Presentación de observaciones al informe de verificación o evaluación</t>
  </si>
  <si>
    <r>
      <t>9 días de tiempo transcurrido </t>
    </r>
    <r>
      <rPr>
        <i/>
        <sz val="10"/>
        <color rgb="FF808080"/>
        <rFont val="Calibri"/>
        <family val="2"/>
        <scheme val="minor"/>
      </rPr>
      <t>(13/08/2025 5:00:00 AM(UTC-05:00) Bogotá, Lima, Quito)</t>
    </r>
  </si>
  <si>
    <t> Publicación Acto Administrativo de adjudicación o de Declaratoria de Desierto</t>
  </si>
  <si>
    <r>
      <t>8 días de tiempo transcurrido </t>
    </r>
    <r>
      <rPr>
        <i/>
        <sz val="10"/>
        <color rgb="FF808080"/>
        <rFont val="Calibri"/>
        <family val="2"/>
        <scheme val="minor"/>
      </rPr>
      <t>(14/08/2025 5:00:00 AM(UTC-05:00) Bogotá, Lima, Quito)</t>
    </r>
  </si>
  <si>
    <t> Firma del Contrato</t>
  </si>
  <si>
    <r>
      <t>7 días de tiempo transcurrido </t>
    </r>
    <r>
      <rPr>
        <i/>
        <sz val="10"/>
        <color rgb="FF808080"/>
        <rFont val="Calibri"/>
        <family val="2"/>
        <scheme val="minor"/>
      </rPr>
      <t>(15/08/2025 5:00:00 AM(UTC-05:00) Bogotá, Lima, Quito)</t>
    </r>
  </si>
  <si>
    <t> Entrega de las garantías de ejecución del contrato</t>
  </si>
  <si>
    <r>
      <t>3 días de tiempo transcurrido </t>
    </r>
    <r>
      <rPr>
        <i/>
        <sz val="10"/>
        <color rgb="FF808080"/>
        <rFont val="Calibri"/>
        <family val="2"/>
        <scheme val="minor"/>
      </rPr>
      <t>(19/08/2025 5:00:00 AM(UTC-05:00) Bogotá, Lima, Quito)</t>
    </r>
  </si>
  <si>
    <t> Aprobación de las garantías o pólizas e inicio de ejecución del contrato</t>
  </si>
  <si>
    <r>
      <t>1 día de tiempo transcurrido </t>
    </r>
    <r>
      <rPr>
        <i/>
        <sz val="10"/>
        <color rgb="FF808080"/>
        <rFont val="Calibri"/>
        <family val="2"/>
        <scheme val="minor"/>
      </rPr>
      <t>(20/08/2025 5:00:00 PM(UTC-05:00) Bogotá, Lima, Quito)</t>
    </r>
  </si>
  <si>
    <t xml:space="preserve">Aprobación de las garantías o pólizas e inicio de ejecución del contrato	1 día de tiempo transcurrido (20/08/2025 5:00:00 PM(UTC-05:00) Bogotá, Lima, Quito). No se evidencia Apertura del proceso (pliegos definitivos . Anexos , matrices, formularios, respuestas oibservaciones </t>
  </si>
  <si>
    <t>Contratación directa (con ofertas)</t>
  </si>
  <si>
    <t>4134.010.32.1.0156-2025</t>
  </si>
  <si>
    <t>ADQUIRIR HERRAMIENTA PARA HABILITAR Y OPERAR LA MESA DE SERVICIOS, CON EL FIN DE GESTIONAR DE MANERA INTEGRAL LOS SERVICIOS DE TECNOLOGÍAS DE LA INFORMACIÓN (TI) Y OTROS SERVICIOS TRANSVERSALES EN LA ALCALDÍA DE SANTIAGO DE CALI.</t>
  </si>
  <si>
    <t>Zona horaria</t>
  </si>
  <si>
    <t>(UTC-05:00) Bogotá, Lima, Quito</t>
  </si>
  <si>
    <t>Plazo de validez de las ofertas:</t>
  </si>
  <si>
    <t>60 (Days)</t>
  </si>
  <si>
    <t>Publicación Estudios y Documentos Previos</t>
  </si>
  <si>
    <r>
      <t>21 días de tiempo transcurrido </t>
    </r>
    <r>
      <rPr>
        <i/>
        <sz val="10"/>
        <color rgb="FF808080"/>
        <rFont val="Arial"/>
        <family val="2"/>
      </rPr>
      <t>(31/07/2025 11:59:00 PM(UTC-05:00) Bogotá, Lima, Quito)</t>
    </r>
  </si>
  <si>
    <t>Fecha prevista para registro de ofertas</t>
  </si>
  <si>
    <r>
      <t>20 días de tiempo transcurrido </t>
    </r>
    <r>
      <rPr>
        <i/>
        <sz val="10"/>
        <color rgb="FF808080"/>
        <rFont val="Arial"/>
        <family val="2"/>
      </rPr>
      <t>(1/08/2025 7:00:00 PM(UTC-05:00) Bogotá, Lima, Quito)</t>
    </r>
  </si>
  <si>
    <t>Firma del Contrato</t>
  </si>
  <si>
    <r>
      <t>20 días de tiempo transcurrido </t>
    </r>
    <r>
      <rPr>
        <i/>
        <sz val="10"/>
        <color rgb="FF808080"/>
        <rFont val="Arial"/>
        <family val="2"/>
      </rPr>
      <t>(1/08/2025 11:59:00 PM(UTC-05:00) Bogotá, Lima, Quito)</t>
    </r>
  </si>
  <si>
    <t>Fecha de creación</t>
  </si>
  <si>
    <r>
      <t>21 días de tiempo transcurrido </t>
    </r>
    <r>
      <rPr>
        <i/>
        <sz val="10"/>
        <color rgb="FF808080"/>
        <rFont val="Arial"/>
        <family val="2"/>
      </rPr>
      <t>(1/08/2025 5:34:18 AM(UTC-05:00) Bogotá, Lima, Quito)</t>
    </r>
  </si>
  <si>
    <t>OBJETO</t>
  </si>
  <si>
    <t>Rev cumplimeinto delegacion</t>
  </si>
  <si>
    <t>TIPO DE ACTIVIDAD</t>
  </si>
  <si>
    <t>Ley de garantia</t>
  </si>
  <si>
    <t xml:space="preserve">Proyecto de Pliegos </t>
  </si>
  <si>
    <t xml:space="preserve">Pliegos Definitivos </t>
  </si>
  <si>
    <t>Adjudicado</t>
  </si>
  <si>
    <t>PLANEADO</t>
  </si>
  <si>
    <t>FECHA DE ENTREGA</t>
  </si>
  <si>
    <t>Contrato Firmado</t>
  </si>
  <si>
    <t>Se evidencia en plataforma proceso Adjudicado y contato Adjudicado</t>
  </si>
  <si>
    <t>Hasta el 3-12-25</t>
  </si>
  <si>
    <t>IMPLEMENTAR SOLUCIONES TECNOLÓGICAS PARA MODERNIZAR LA INFRAESTRUCTURA DE LA ENTIDAD, OPTIMIZAR LA GESTIÓN DE BASES DE DATOS Y SISTEMAS DE INFORMACIÓN, GARANTIZAR LA SEGURIDAD INFORMÁTICA, FORTALECER LOS SISTEMAS DE RECUPERACIÓN ANTE DESASTRES Y RESPALDO DE INFORMACIÓN ON-PREMISE PARA LA ALCALDÍA DEL DISTRITO ESPECIAL DE SANTIAGO DE CALI.</t>
  </si>
  <si>
    <t>4 (Months)</t>
  </si>
  <si>
    <t>4134.010.32.1.0145-2025</t>
  </si>
  <si>
    <t>Publicación del Aviso (artículo 30 de la Ley 80 de 1993)</t>
  </si>
  <si>
    <t>Publicación del aviso de convocatoria pública</t>
  </si>
  <si>
    <t>Publicación de estudios previos</t>
  </si>
  <si>
    <t>Fecha de publicación del proyecto de pliego de condiciones</t>
  </si>
  <si>
    <t>Plazo para presentar observaciones al proyecto de Pliego de Condiciones</t>
  </si>
  <si>
    <t>Respuesta a las observaciones al Proyecto de Pliego de Condiciones</t>
  </si>
  <si>
    <t>Fecha prevista de publicación del pliego de condiciones definitivo</t>
  </si>
  <si>
    <t>Expedición y publicación acto administrativo de apertura del proceso de selección</t>
  </si>
  <si>
    <t>Audiencia de asignación de Riesgos</t>
  </si>
  <si>
    <t>Presentación de Observaciones a los Pliegos de Condiciones definitivos</t>
  </si>
  <si>
    <t>Respuesta a las observaciones al Pliego de Condiciones</t>
  </si>
  <si>
    <t>Plazo máximo para expedir adendas</t>
  </si>
  <si>
    <t>Presentación de Ofertas</t>
  </si>
  <si>
    <t>Apertura de Ofertas</t>
  </si>
  <si>
    <t>Informe de presentación de Ofertas</t>
  </si>
  <si>
    <t>Publicación del informe de evaluación de las Ofertas</t>
  </si>
  <si>
    <t>Presentación de observaciones al informe de verificación o evaluación</t>
  </si>
  <si>
    <t>Audiencia de Adjudicación</t>
  </si>
  <si>
    <t>Publicación Acto Administrativo de adjudicación o de Declaratoria de Desierto</t>
  </si>
  <si>
    <t>Entrega de las garantías de ejecución del contrato</t>
  </si>
  <si>
    <t>Presentación de Observaciones a los Pliegos de Condiciones definitivos	1 hora para terminar (22/08/2025 5:00:00 PM(UTC-05:00) Bogotá, Lima, Quito)</t>
  </si>
  <si>
    <t>4162.010.32.1.1058-2025</t>
  </si>
  <si>
    <t>5 (Months)</t>
  </si>
  <si>
    <t>Audiencia de Adjudicación y apertura sobre económico	8 horas para terminar (22/08/2025 11:59:00 . No se evidencia Apertura del proceso</t>
  </si>
  <si>
    <r>
      <t>27/06/2025 11:59:00 PM </t>
    </r>
    <r>
      <rPr>
        <i/>
        <sz val="10"/>
        <color rgb="FF808080"/>
        <rFont val="Arial"/>
        <family val="2"/>
      </rPr>
      <t>((UTC-05:00) Bogotá, Lima, Quito)</t>
    </r>
  </si>
  <si>
    <t>Publicación de estudios previos y proyecto de pliego de condiciones</t>
  </si>
  <si>
    <r>
      <t>27/06/2025 4:37:19 PM </t>
    </r>
    <r>
      <rPr>
        <i/>
        <sz val="10"/>
        <color rgb="FF808080"/>
        <rFont val="Arial"/>
        <family val="2"/>
      </rPr>
      <t>((UTC-05:00) Bogotá, Lima, Quito)</t>
    </r>
  </si>
  <si>
    <r>
      <t>14/07/2025 5:00:00 PM </t>
    </r>
    <r>
      <rPr>
        <i/>
        <sz val="10"/>
        <color rgb="FF808080"/>
        <rFont val="Arial"/>
        <family val="2"/>
      </rPr>
      <t>((UTC-05:00) Bogotá, Lima, Quito)</t>
    </r>
  </si>
  <si>
    <r>
      <t>16/07/2025 11:57:00 PM </t>
    </r>
    <r>
      <rPr>
        <i/>
        <sz val="10"/>
        <color rgb="FF808080"/>
        <rFont val="Arial"/>
        <family val="2"/>
      </rPr>
      <t>((UTC-05:00) Bogotá, Lima, Quito)</t>
    </r>
  </si>
  <si>
    <r>
      <t>18/07/2025 11:59:00 PM </t>
    </r>
    <r>
      <rPr>
        <i/>
        <sz val="10"/>
        <color rgb="FF808080"/>
        <rFont val="Arial"/>
        <family val="2"/>
      </rPr>
      <t>((UTC-05:00) Bogotá, Lima, Quito)</t>
    </r>
  </si>
  <si>
    <t>Respuesta a las observaciones al Pliego de Condiciones Definitivo</t>
  </si>
  <si>
    <t>Apertura del sobre 1</t>
  </si>
  <si>
    <t>Publicación del informe de verificación o evaluación</t>
  </si>
  <si>
    <t>Audiencia de Adjudicación y apertura sobre económico</t>
  </si>
  <si>
    <r>
      <t>6 días para terminar </t>
    </r>
    <r>
      <rPr>
        <i/>
        <sz val="10"/>
        <color rgb="FF808080"/>
        <rFont val="Arial"/>
        <family val="2"/>
      </rPr>
      <t>(28/08/2025 11:59:00 PM(UTC-05:00) Bogotá, Lima, Quito)</t>
    </r>
  </si>
  <si>
    <t>4162.010.32.1.1059-2025</t>
  </si>
  <si>
    <t>REALIZAR LAS ADECUACIONES DE CANCHAS MÚLTIPLES, JUEGOS INFANTILES Y CANCHA SINTÉTICA DE LOS ESCENARIOS Y ESPACIOS DEPORTIVOS PRIORIZADOS DEL DISTRITO ESPECIAL DE SANTIAGO DE CALI, CON RECURSOS DEL EMPRÉSTITO.</t>
  </si>
  <si>
    <t>6 (Months)</t>
  </si>
  <si>
    <t>Zona horaria: </t>
  </si>
  <si>
    <t>90 (Días)</t>
  </si>
  <si>
    <r>
      <t>11/07/2025 7:00:00 PM </t>
    </r>
    <r>
      <rPr>
        <i/>
        <sz val="10"/>
        <color rgb="FF808080"/>
        <rFont val="Arial"/>
        <family val="2"/>
      </rPr>
      <t>((UTC-05:00) Bogotá, Lima, Quito)</t>
    </r>
  </si>
  <si>
    <r>
      <t>11/07/2025 5:49:24 PM </t>
    </r>
    <r>
      <rPr>
        <i/>
        <sz val="10"/>
        <color rgb="FF808080"/>
        <rFont val="Arial"/>
        <family val="2"/>
      </rPr>
      <t>((UTC-05:00) Bogotá, Lima, Quito)</t>
    </r>
  </si>
  <si>
    <r>
      <t>20 días de tiempo transcurrido </t>
    </r>
    <r>
      <rPr>
        <i/>
        <sz val="10"/>
        <color rgb="FF808080"/>
        <rFont val="Arial"/>
        <family val="2"/>
      </rPr>
      <t>(1/08/2025 5:00:00 PM(UTC-05:00) Bogotá, Lima, Quito)</t>
    </r>
  </si>
  <si>
    <r>
      <t>4 días para terminar </t>
    </r>
    <r>
      <rPr>
        <i/>
        <sz val="10"/>
        <color rgb="FF808080"/>
        <rFont val="Arial"/>
        <family val="2"/>
      </rPr>
      <t>(27/08/2025 12:00:00 PM(UTC-05:00) Bogotá, Lima, Quito)</t>
    </r>
  </si>
  <si>
    <t>Presentación de observaciones al informe de verificación o evaluación	4 días para terminar (26/08/2025 5:00:00 PM(UTC-05:00) Bogotá, Lima, Quito)</t>
  </si>
  <si>
    <t xml:space="preserve">En Evaluacion </t>
  </si>
  <si>
    <t>4162.010.32.1.1299-2025</t>
  </si>
  <si>
    <t>REALIZAR LA INTERVENTORÍA INTEGRAL: TÉCNICA, ADMINISTRATIVA, FINANCIERA, JURÍDICA, SOCIAL Y AMBIENTAL AL CONTRATO DE OBRA DERIVADO DE LA LICITACIÓN PÚBLICA 4162.010.32.1.1058-2025 "REALIZAR MANTENIMIENTO DE CANCHAS MÚLTIPLES Y CANCHAS SINTÉTICAS DE LOS ESCENARIOS Y ESPACIOS DEPORTIVOS PRIORIZADOS DEL DISTRITO ESPECIAL DE SANTIAGO DE CALI, CON RECURSOS DEL EMPRÉSTITO".</t>
  </si>
  <si>
    <t>3 (Months)</t>
  </si>
  <si>
    <r>
      <t>17/07/2025 11:59:00 PM </t>
    </r>
    <r>
      <rPr>
        <i/>
        <sz val="10"/>
        <color rgb="FF808080"/>
        <rFont val="Arial"/>
        <family val="2"/>
      </rPr>
      <t>((UTC-05:00) Bogotá, Lima, Quito)</t>
    </r>
  </si>
  <si>
    <r>
      <t>17/07/2025 12:19:30 PM </t>
    </r>
    <r>
      <rPr>
        <i/>
        <sz val="10"/>
        <color rgb="FF808080"/>
        <rFont val="Arial"/>
        <family val="2"/>
      </rPr>
      <t>((UTC-05:00) Bogotá, Lima, Quito)</t>
    </r>
  </si>
  <si>
    <r>
      <t>28 días de tiempo transcurrido </t>
    </r>
    <r>
      <rPr>
        <i/>
        <sz val="10"/>
        <color rgb="FF808080"/>
        <rFont val="Arial"/>
        <family val="2"/>
      </rPr>
      <t>(24/07/2025 5:00:00 PM(UTC-05:00) Bogotá, Lima, Quito)</t>
    </r>
  </si>
  <si>
    <t>Plazo para manifestación de interés de limitar la convocatoria a Mypes y/o MiPymes</t>
  </si>
  <si>
    <t>Respuesta a las observaciones al Proyecto Pliego de Condiciones</t>
  </si>
  <si>
    <r>
      <t>24 días de tiempo transcurrido </t>
    </r>
    <r>
      <rPr>
        <i/>
        <sz val="10"/>
        <color rgb="FF808080"/>
        <rFont val="Arial"/>
        <family val="2"/>
      </rPr>
      <t>(28/07/2025 11:58:00 PM(UTC-05:00) Bogotá, Lima, Quito)</t>
    </r>
  </si>
  <si>
    <t>Fecha prevista de publicación de los pliegos de condiciones definitivos</t>
  </si>
  <si>
    <r>
      <t>24 días de tiempo transcurrido </t>
    </r>
    <r>
      <rPr>
        <i/>
        <sz val="10"/>
        <color rgb="FF808080"/>
        <rFont val="Arial"/>
        <family val="2"/>
      </rPr>
      <t>(28/07/2025 11:59:00 PM(UTC-05:00) Bogotá, Lima, Quito)</t>
    </r>
  </si>
  <si>
    <r>
      <t>22 días de tiempo transcurrido </t>
    </r>
    <r>
      <rPr>
        <i/>
        <sz val="10"/>
        <color rgb="FF808080"/>
        <rFont val="Arial"/>
        <family val="2"/>
      </rPr>
      <t>(30/07/2025 5:00:00 PM(UTC-05:00) Bogotá, Lima, Quito)</t>
    </r>
  </si>
  <si>
    <t>Respuesta a las observaciones al Pliego de Condiciones definitivo</t>
  </si>
  <si>
    <r>
      <t>21 días de tiempo transcurrido </t>
    </r>
    <r>
      <rPr>
        <i/>
        <sz val="10"/>
        <color rgb="FF808080"/>
        <rFont val="Arial"/>
        <family val="2"/>
      </rPr>
      <t>(31/07/2025 6:58:00 PM(UTC-05:00) Bogotá, Lima, Quito)</t>
    </r>
  </si>
  <si>
    <r>
      <t>21 días de tiempo transcurrido </t>
    </r>
    <r>
      <rPr>
        <i/>
        <sz val="10"/>
        <color rgb="FF808080"/>
        <rFont val="Arial"/>
        <family val="2"/>
      </rPr>
      <t>(31/07/2025 7:00:00 PM(UTC-05:00) Bogotá, Lima, Quito)</t>
    </r>
  </si>
  <si>
    <r>
      <t>21 días de tiempo transcurrido </t>
    </r>
    <r>
      <rPr>
        <i/>
        <sz val="10"/>
        <color rgb="FF808080"/>
        <rFont val="Arial"/>
        <family val="2"/>
      </rPr>
      <t>(1/08/2025 12:00:00 PM(UTC-05:00) Bogotá, Lima, Quito)</t>
    </r>
  </si>
  <si>
    <r>
      <t>21 días de tiempo transcurrido </t>
    </r>
    <r>
      <rPr>
        <i/>
        <sz val="10"/>
        <color rgb="FF808080"/>
        <rFont val="Arial"/>
        <family val="2"/>
      </rPr>
      <t>(1/08/2025 12:01:00 PM(UTC-05:00) Bogotá, Lima, Quito)</t>
    </r>
  </si>
  <si>
    <r>
      <t>10 días de tiempo transcurrido </t>
    </r>
    <r>
      <rPr>
        <i/>
        <sz val="10"/>
        <color rgb="FF808080"/>
        <rFont val="Arial"/>
        <family val="2"/>
      </rPr>
      <t>(11/08/2025 11:59:00 PM(UTC-05:00) Bogotá, Lima, Quito)</t>
    </r>
  </si>
  <si>
    <t>Presentación de observaciones al informe evaluación de las ofertas</t>
  </si>
  <si>
    <r>
      <t>7 días de tiempo transcurrido </t>
    </r>
    <r>
      <rPr>
        <i/>
        <sz val="10"/>
        <color rgb="FF808080"/>
        <rFont val="Arial"/>
        <family val="2"/>
      </rPr>
      <t>(14/08/2025 5:00:00 PM(UTC-05:00) Bogotá, Lima, Quito)</t>
    </r>
  </si>
  <si>
    <t>Expedición del Acto de Adjudicación o de declaratoria desierta</t>
  </si>
  <si>
    <r>
      <t>2 días de tiempo transcurrido </t>
    </r>
    <r>
      <rPr>
        <i/>
        <sz val="10"/>
        <color rgb="FF808080"/>
        <rFont val="Arial"/>
        <family val="2"/>
      </rPr>
      <t>(19/08/2025 11:59:00 PM(UTC-05:00) Bogotá, Lima, Quito)</t>
    </r>
  </si>
  <si>
    <r>
      <t>7 horas para terminar </t>
    </r>
    <r>
      <rPr>
        <i/>
        <sz val="10"/>
        <color rgb="FF808080"/>
        <rFont val="Arial"/>
        <family val="2"/>
      </rPr>
      <t>(22/08/2025 11:59:00 PM(UTC-05:00) Bogotá, Lima, Quito)</t>
    </r>
  </si>
  <si>
    <t>Entrega de las garantías o pólizas de ejecución del contrato</t>
  </si>
  <si>
    <t>Aprobación de las garantías o pólizas e inicio de ejecución del contrato</t>
  </si>
  <si>
    <t>Firma del Contrato	7 horas para terminar (22/08/2025 11:59:00 PM(UTC-05:00) Bogotá, Lima, Quito). No se evidencia Apertura del proceso</t>
  </si>
  <si>
    <t>ADQUIRIR MAQUINARIA AMARILLA, VEHÍCULOS PESADOS Y EQUIPOS ESPECIALIZADOS PARA REALIZAR EL MANTENIMIENTO, REHABILITACIÓN, MEJORAMIENTO Y RECUPERACIÓN DE LA INFRAESTRUCTURA VIAL.</t>
  </si>
  <si>
    <t>4151.010.32.1.0574-2025</t>
  </si>
  <si>
    <r>
      <t>12/07/2025 11:00:00 PM </t>
    </r>
    <r>
      <rPr>
        <i/>
        <sz val="10"/>
        <color rgb="FF808080"/>
        <rFont val="Arial"/>
        <family val="2"/>
      </rPr>
      <t>((UTC-05:00) Bogotá, Lima, Quito)</t>
    </r>
  </si>
  <si>
    <r>
      <t>12/07/2025 5:51:22 PM </t>
    </r>
    <r>
      <rPr>
        <i/>
        <sz val="10"/>
        <color rgb="FF808080"/>
        <rFont val="Arial"/>
        <family val="2"/>
      </rPr>
      <t>((UTC-05:00) Bogotá, Lima, Quito)</t>
    </r>
  </si>
  <si>
    <r>
      <t>18/07/2025 5:00:00 PM </t>
    </r>
    <r>
      <rPr>
        <i/>
        <sz val="10"/>
        <color rgb="FF808080"/>
        <rFont val="Arial"/>
        <family val="2"/>
      </rPr>
      <t>((UTC-05:00) Bogotá, Lima, Quito)</t>
    </r>
  </si>
  <si>
    <t>Respuesta a observaciones al Proyecto de Pliego de Condiciones</t>
  </si>
  <si>
    <r>
      <t>23/07/2025 6:30:00 PM </t>
    </r>
    <r>
      <rPr>
        <i/>
        <sz val="10"/>
        <color rgb="FF808080"/>
        <rFont val="Arial"/>
        <family val="2"/>
      </rPr>
      <t>((UTC-05:00) Bogotá, Lima, Quito)</t>
    </r>
  </si>
  <si>
    <t>Fecha prevista de Publicación del Pliego de Condiciones Definitivo</t>
  </si>
  <si>
    <r>
      <t>23/07/2025 7:00:00 PM </t>
    </r>
    <r>
      <rPr>
        <i/>
        <sz val="10"/>
        <color rgb="FF808080"/>
        <rFont val="Arial"/>
        <family val="2"/>
      </rPr>
      <t>((UTC-05:00) Bogotá, Lima, Quito)</t>
    </r>
  </si>
  <si>
    <t>Apertura de sobre de requisitos habilitantes y técnicos</t>
  </si>
  <si>
    <t>Apertura del sobre económico </t>
  </si>
  <si>
    <t>Fecha segun cronograma del proceso: Aprobación de las garantías de ejecución del contrato.	2 días de tiempo transcurrido (22/08/2025 7:00:00 PM(UTC-05:00) Bogotá, Lima, Quito).  No se evidencia Apertura del proceso</t>
  </si>
  <si>
    <t>REALIZAR LA CONSTRUCCIÓN, MEJORAMIENTO Y MANTENIMIENTO DE CICLO INFRAESTRUCTURA EN EL DISTRITO DE SANTIAGO DE CALI</t>
  </si>
  <si>
    <t>4151.010.32.1.0577- 2025</t>
  </si>
  <si>
    <r>
      <t>7/07/2025 6:00:00 PM </t>
    </r>
    <r>
      <rPr>
        <i/>
        <sz val="10"/>
        <color rgb="FF808080"/>
        <rFont val="Arial"/>
        <family val="2"/>
      </rPr>
      <t>((UTC-05:00) Bogotá, Lima, Quito)</t>
    </r>
  </si>
  <si>
    <r>
      <t>30/06/2025 11:59:00 PM </t>
    </r>
    <r>
      <rPr>
        <i/>
        <sz val="10"/>
        <color rgb="FF808080"/>
        <rFont val="Arial"/>
        <family val="2"/>
      </rPr>
      <t>((UTC-05:00) Bogotá, Lima, Quito)</t>
    </r>
  </si>
  <si>
    <r>
      <t>30/06/2025 2:34:44 PM </t>
    </r>
    <r>
      <rPr>
        <i/>
        <sz val="10"/>
        <color rgb="FF808080"/>
        <rFont val="Arial"/>
        <family val="2"/>
      </rPr>
      <t>((UTC-05:00) Bogotá, Lima, Quito)</t>
    </r>
  </si>
  <si>
    <r>
      <t>22/07/2025 9:00:00 AM </t>
    </r>
    <r>
      <rPr>
        <i/>
        <sz val="10"/>
        <color rgb="FF808080"/>
        <rFont val="Arial"/>
        <family val="2"/>
      </rPr>
      <t>((UTC-05:00) Bogotá, Lima, Quito)</t>
    </r>
  </si>
  <si>
    <r>
      <t>22/07/2025 5:00:00 PM </t>
    </r>
    <r>
      <rPr>
        <i/>
        <sz val="10"/>
        <color rgb="FF808080"/>
        <rFont val="Arial"/>
        <family val="2"/>
      </rPr>
      <t>((UTC-05:00) Bogotá, Lima, Quito)</t>
    </r>
  </si>
  <si>
    <r>
      <t>23/07/2025 5:00:00 PM </t>
    </r>
    <r>
      <rPr>
        <i/>
        <sz val="10"/>
        <color rgb="FF808080"/>
        <rFont val="Arial"/>
        <family val="2"/>
      </rPr>
      <t>((UTC-05:00) Bogotá, Lima, Quito)</t>
    </r>
  </si>
  <si>
    <t>Fecha segun cronograma Entrega de las garantías de ejecución del contrato	1 día para terminar (26/08/2025 5:00:00 PM(UTC-05:00) Bogotá, Lima, Quito). No se evidencia Apertura del proceso</t>
  </si>
  <si>
    <t>REALIZAR OBRAS DE MANTENIMIENTO Y MEJORAMIENTO DE VÍAS EN LA ZONA URBANA Y RURAL DE SANTIAGO DE CALI, EN DESARROLLO DEL PROYECTO DE INVERSIÓN BP-26005375 - RECUPERACIÓN DE LA INFRAESTRUCTURA VIAL DE SANTIAGO DE CALI</t>
  </si>
  <si>
    <t>3,5 (Months)</t>
  </si>
  <si>
    <t>4151.010.32.1.0575-2025</t>
  </si>
  <si>
    <r>
      <t>7/07/2025 5:59:00 PM </t>
    </r>
    <r>
      <rPr>
        <i/>
        <sz val="10"/>
        <color rgb="FF808080"/>
        <rFont val="Arial"/>
        <family val="2"/>
      </rPr>
      <t>((UTC-05:00) Bogotá, Lima, Quito)</t>
    </r>
  </si>
  <si>
    <r>
      <t>29/06/2025 11:59:00 PM </t>
    </r>
    <r>
      <rPr>
        <i/>
        <sz val="10"/>
        <color rgb="FF808080"/>
        <rFont val="Arial"/>
        <family val="2"/>
      </rPr>
      <t>((UTC-05:00) Bogotá, Lima, Quito)</t>
    </r>
  </si>
  <si>
    <r>
      <t>29/06/2025 8:26:02 PM </t>
    </r>
    <r>
      <rPr>
        <i/>
        <sz val="10"/>
        <color rgb="FF808080"/>
        <rFont val="Arial"/>
        <family val="2"/>
      </rPr>
      <t>((UTC-05:00) Bogotá, Lima, Quito)</t>
    </r>
  </si>
  <si>
    <r>
      <t>16/07/2025 11:59:00 PM </t>
    </r>
    <r>
      <rPr>
        <i/>
        <sz val="10"/>
        <color rgb="FF808080"/>
        <rFont val="Arial"/>
        <family val="2"/>
      </rPr>
      <t>((UTC-05:00) Bogotá, Lima, Quito)</t>
    </r>
  </si>
  <si>
    <r>
      <t>21/07/2025 5:00:00 PM </t>
    </r>
    <r>
      <rPr>
        <i/>
        <sz val="10"/>
        <color rgb="FF808080"/>
        <rFont val="Arial"/>
        <family val="2"/>
      </rPr>
      <t>((UTC-05:00) Bogotá, Lima, Quito)</t>
    </r>
  </si>
  <si>
    <t>Fecha segun cronograma del proceso : ntrega de las garantías de ejecución del contrato	2 días de tiempo transcurrido (22/08/2025 5:00:00 PM(UTC-05:00) Bogotá, Lima, Quito). No se evidencia Apertura del proceso. Ojo con las respuestas a las observaciones respecto al AIU, ( se puede modicficar , mas no superar el valor total ) Revisar pliego tipo</t>
  </si>
  <si>
    <t>REALIZAR OBRAS DE ESTABILIZACIÓN Y CONSTRUCCIÓN DE MUROS DE CONTENCIÓN EN LA ZONA URBANA DEL DISTRITO DE SANTIAGO DE CALI</t>
  </si>
  <si>
    <t>4151.010.32.1.0811-2025</t>
  </si>
  <si>
    <t>Selección abreviada subasta inversa- SASI</t>
  </si>
  <si>
    <t>Selección abreviada menor cuantía- SAMC</t>
  </si>
  <si>
    <t>Concurso de meritos Abierto- CMA</t>
  </si>
  <si>
    <t>Minima cuantia - MC</t>
  </si>
  <si>
    <t>Licitacion publica - LP</t>
  </si>
  <si>
    <t>Fecha Prevista de Publicación del Pliego de Condiciones Definitivo y Demonstración de Interés</t>
  </si>
  <si>
    <t>Realización del sorteo</t>
  </si>
  <si>
    <t>Publicación de la lista de precalificados</t>
  </si>
  <si>
    <t>Fecha segun cronograma del proceso : Presentación de Ofertas	1 hora de tiempo transcurrido (25/08/2025 10:00:00 AM(UTC-05:00) Bogotá, Lima, Quito). No se evidencia Apertura del proceso</t>
  </si>
  <si>
    <t>4151.010.32.1.0809-2025</t>
  </si>
  <si>
    <t>REALIZAR LA INTERVENTORÍA TECNICA, ADMINISTRATIVA, JURIDICA, FINANCIERA, AMBIENTAL Y CONTABLE A LOS PROYECTOS DE MEJORAMIENTO VIAL Y CICLOINFRAESTRUCTURA ADELANTADOS POR LA SECRETARÍA DE INFRAESTRUCTURA</t>
  </si>
  <si>
    <t>REALIZAR EL MANTENIMIENTO PREVENTIVO Y CORRECTIVO DE LOS EQUIPAMIENTOS INSTITUCIONALES DEL DISTRITO ESPECIAL DE SANTIAGO DE CALI: CENTROS DE ADMINISTRACIÓN LOCAL INTEGRADA EN LAS COMUNAS 12, 13, 18 Y 20, BAJO EL SISTEMA DE PRECIOS UNITARIOS FIJOS SIN FÓRMULA DE REAJUSTE, CORRESPONDIENTE AL PROYECTO BP-26005393.</t>
  </si>
  <si>
    <t>4173.010.32.1.839-2025</t>
  </si>
  <si>
    <r>
      <t>1/07/2025 10:00:00 AM </t>
    </r>
    <r>
      <rPr>
        <i/>
        <sz val="10"/>
        <color rgb="FF808080"/>
        <rFont val="Arial"/>
        <family val="2"/>
      </rPr>
      <t>((UTC-05:00) Bogotá, Lima, Quito)</t>
    </r>
  </si>
  <si>
    <r>
      <t>1/07/2025 8:13:12 AM </t>
    </r>
    <r>
      <rPr>
        <i/>
        <sz val="10"/>
        <color rgb="FF808080"/>
        <rFont val="Arial"/>
        <family val="2"/>
      </rPr>
      <t>((UTC-05:00) Bogotá, Lima, Quito)</t>
    </r>
  </si>
  <si>
    <r>
      <t>8/07/2025 3:00:00 PM </t>
    </r>
    <r>
      <rPr>
        <i/>
        <sz val="10"/>
        <color rgb="FF808080"/>
        <rFont val="Arial"/>
        <family val="2"/>
      </rPr>
      <t>((UTC-05:00) Bogotá, Lima, Quito)</t>
    </r>
  </si>
  <si>
    <r>
      <t>10/07/2025 5:00:00 PM </t>
    </r>
    <r>
      <rPr>
        <i/>
        <sz val="10"/>
        <color rgb="FF808080"/>
        <rFont val="Arial"/>
        <family val="2"/>
      </rPr>
      <t>((UTC-05:00) Bogotá, Lima, Quito)</t>
    </r>
  </si>
  <si>
    <r>
      <t>21/07/2025 7:00:00 PM </t>
    </r>
    <r>
      <rPr>
        <i/>
        <sz val="10"/>
        <color rgb="FF808080"/>
        <rFont val="Arial"/>
        <family val="2"/>
      </rPr>
      <t>((UTC-05:00) Bogotá, Lima, Quito)</t>
    </r>
  </si>
  <si>
    <t>Fecha segun cronograma del proceso : Expedición del Acto de Adjudicación o de declaratoria desierta	1 día para terminar (26/08/2025 11:59:00 PM(UTC-05:00) Bogotá, Lima, Quito). No se evidencia Apertura del proceso</t>
  </si>
  <si>
    <t>Fecha segun cronograma del proceso : Aprobación de las garantías o pólizas e inicio de ejecución del contrato	24 días de tiempo transcurrido (31/07/2025 5:00:00 PM(UTC-05:00) Bogotá, Lima, Quito). No se evidencia Apertura del proceso</t>
  </si>
  <si>
    <t>REALIZAR EL MANTENIMIENTO PREVENTIVO Y CORRECTIVO DE LOS EQUIPAMIENTOS INSTITUCIONALES DEL DISTRITO ESPECIAL DE SANTIAGO DE CALI: CENTROS DE ADMINISTRACIÓN LOCAL INTEGRADA EN LAS COMUNAS 3, 9, 17, 21 Y 22, BAJO EL SISTEMA DE PRECIOS UNITARIOS FIJOS SIN FÓRMULA DE REAJUSTE.</t>
  </si>
  <si>
    <t>4173.010.32.1.843-2025</t>
  </si>
  <si>
    <t>7 (Months)</t>
  </si>
  <si>
    <r>
      <t>2/07/2025 10:00:00 AM </t>
    </r>
    <r>
      <rPr>
        <i/>
        <sz val="10"/>
        <color rgb="FF808080"/>
        <rFont val="Arial"/>
        <family val="2"/>
      </rPr>
      <t>((UTC-05:00) Bogotá, Lima, Quito)</t>
    </r>
  </si>
  <si>
    <r>
      <t>1/07/2025 11:32:09 AM </t>
    </r>
    <r>
      <rPr>
        <i/>
        <sz val="10"/>
        <color rgb="FF808080"/>
        <rFont val="Arial"/>
        <family val="2"/>
      </rPr>
      <t>((UTC-05:00) Bogotá, Lima, Quito)</t>
    </r>
  </si>
  <si>
    <r>
      <t>16/07/2025 5:00:00 PM </t>
    </r>
    <r>
      <rPr>
        <i/>
        <sz val="10"/>
        <color rgb="FF808080"/>
        <rFont val="Arial"/>
        <family val="2"/>
      </rPr>
      <t>((UTC-05:00) Bogotá, Lima, Quito)</t>
    </r>
  </si>
  <si>
    <r>
      <t>21/07/2025 10:00:00 AM </t>
    </r>
    <r>
      <rPr>
        <i/>
        <sz val="10"/>
        <color rgb="FF808080"/>
        <rFont val="Arial"/>
        <family val="2"/>
      </rPr>
      <t>((UTC-05:00) Bogotá, Lima, Quito)</t>
    </r>
  </si>
  <si>
    <t xml:space="preserve">Fecha segun cronograma del proceso : Entrega de las garantías de ejecución del contrato	3 días de tiempo transcurrido (22/08/2025 3:17:00 PM(UTC-05:00) Bogotá, Lima, Quito). No se evidencia Apertura del proceso. Se evidencia una  Designación supervisor de contrato que no corresponde al proceso . revisar </t>
  </si>
  <si>
    <t>REALIZAR EL MANTENIMIENTO PREVENTIVO Y CORRECTIVO DE LOS EQUIPAMIENTOS INSTITUCIONALES DEL DISTRITO ESPECIAL DE SANTIAGO DE CALI: CENTROS DE ADMINISTRACIÓN LOCAL INTEGRADA EN LA COMUNA 19, BAJO EL SISTEMA DE PRECIOS UNITARIOS FIJOS SIN FÓRMULA DE REAJUSTE.</t>
  </si>
  <si>
    <t>4173.010.32.1.1246-2025</t>
  </si>
  <si>
    <t>Fecha segun cronograma del proceso : Respuesta a las observaciones al Pliego de Condiciones Definitivo	3 días de tiempo transcurrido (22/08/2025 4:00:00 PM(UTC-05:00) Bogotá, Lima, Quito).  No se evidencia Apertura del proceso</t>
  </si>
  <si>
    <t>EJECUTAR POR EL SISTEMA DE PRECIOS UNITARIOS FIJOS, SIN FORMULA DE REAJUSTE LA CONSTRUCCIÓN DE OBRAS PARA LA ADECUACIÓN DE LA INFRAESTRUCTURA DE INSTITUCIONES EDUCATIVAS OFICIALES UBICADAS EN LAS COMUNAS 1, 4, 5, 8, 10, 11, 15, 18, 19, 20, 21, Y EN LOS CORREGIMIENTOS LA BUITRERA, FELIDIA Y LOS ANDES DE SANTIAGO DE CALI.</t>
  </si>
  <si>
    <t>4143.010.32.0876-2025</t>
  </si>
  <si>
    <t>Fecha segun cronograma del proceso : Presentación de Observaciones a los Pliegos de Condiciones definitivos	22 horas para terminar (26/08/2025 5:00:00 PM(UTC-05:00) Bogotá, Lima, Quito). No se evidencia Apertura del proceso</t>
  </si>
  <si>
    <r>
      <t>5 días de tiempo transcurrido </t>
    </r>
    <r>
      <rPr>
        <i/>
        <sz val="10"/>
        <color rgb="FF808080"/>
        <rFont val="Arial"/>
        <family val="2"/>
      </rPr>
      <t>(20/08/2025 5:00:00 PM(UTC-05:00) Bogotá, Lima, Quito)</t>
    </r>
  </si>
  <si>
    <r>
      <t>9 días para terminar </t>
    </r>
    <r>
      <rPr>
        <i/>
        <sz val="10"/>
        <color rgb="FF808080"/>
        <rFont val="Arial"/>
        <family val="2"/>
      </rPr>
      <t>(4/09/2025 5:00:00 PM(UTC-05:00) Bogotá, Lima, Quito)</t>
    </r>
  </si>
  <si>
    <r>
      <t>22 días para terminar </t>
    </r>
    <r>
      <rPr>
        <i/>
        <sz val="10"/>
        <color rgb="FF808080"/>
        <rFont val="Arial"/>
        <family val="2"/>
      </rPr>
      <t>(17/09/2025 5:00:00 PM(UTC-05:00) Bogotá, Lima, Quito)</t>
    </r>
  </si>
  <si>
    <t>Plazo para manifestación de interés de limitar la convocatoria a MiPymes</t>
  </si>
  <si>
    <t>Item</t>
  </si>
  <si>
    <t>ENTREGA REAL</t>
  </si>
  <si>
    <t>ESTADO PROCESO SECOP</t>
  </si>
  <si>
    <t xml:space="preserve">OBSERVACIONES </t>
  </si>
  <si>
    <t>CONTACTO</t>
  </si>
  <si>
    <t>NUMERO</t>
  </si>
  <si>
    <t>120 (Días)</t>
  </si>
  <si>
    <r>
      <t>22 días de tiempo transcurrido </t>
    </r>
    <r>
      <rPr>
        <i/>
        <sz val="10"/>
        <color rgb="FF808080"/>
        <rFont val="Arial"/>
        <family val="2"/>
      </rPr>
      <t>(4/08/2025 8:00:00 AM(UTC-05:00) Bogotá, Lima, Quito)</t>
    </r>
  </si>
  <si>
    <r>
      <t>22 días de tiempo transcurrido </t>
    </r>
    <r>
      <rPr>
        <i/>
        <sz val="10"/>
        <color rgb="FF808080"/>
        <rFont val="Arial"/>
        <family val="2"/>
      </rPr>
      <t>(3/08/2025 5:00:00 PM(UTC-05:00) Bogotá, Lima, Quito)</t>
    </r>
  </si>
  <si>
    <r>
      <t>22 días de tiempo transcurrido </t>
    </r>
    <r>
      <rPr>
        <i/>
        <sz val="10"/>
        <color rgb="FF808080"/>
        <rFont val="Arial"/>
        <family val="2"/>
      </rPr>
      <t>(4/08/2025 8:04:50 AM(UTC-05:00) Bogotá, Lima, Quito)</t>
    </r>
  </si>
  <si>
    <r>
      <t>4 días de tiempo transcurrido </t>
    </r>
    <r>
      <rPr>
        <i/>
        <sz val="10"/>
        <color rgb="FF808080"/>
        <rFont val="Arial"/>
        <family val="2"/>
      </rPr>
      <t>(21/08/2025 4:00:00 PM(UTC-05:00) Bogotá, Lima, Quito)</t>
    </r>
  </si>
  <si>
    <r>
      <t>1 día de tiempo transcurrido </t>
    </r>
    <r>
      <rPr>
        <i/>
        <sz val="10"/>
        <color rgb="FF808080"/>
        <rFont val="Arial"/>
        <family val="2"/>
      </rPr>
      <t>(25/08/2025 8:00:00 AM(UTC-05:00) Bogotá, Lima, Quito)</t>
    </r>
  </si>
  <si>
    <t>Fecha de publicación del pliego de condiciones definitivo</t>
  </si>
  <si>
    <r>
      <t>1 día de tiempo transcurrido </t>
    </r>
    <r>
      <rPr>
        <i/>
        <sz val="10"/>
        <color rgb="FF808080"/>
        <rFont val="Arial"/>
        <family val="2"/>
      </rPr>
      <t>(24/08/2025 8:23:22 PM(UTC-05:00) Bogotá, Lima, Quito)</t>
    </r>
  </si>
  <si>
    <r>
      <t>2 horas de tiempo transcurrido </t>
    </r>
    <r>
      <rPr>
        <i/>
        <sz val="10"/>
        <color rgb="FF808080"/>
        <rFont val="Arial"/>
        <family val="2"/>
      </rPr>
      <t>(26/08/2025 9:00:00 AM(UTC-05:00) Bogotá, Lima, Quito)</t>
    </r>
  </si>
  <si>
    <r>
      <t>5 horas para terminar </t>
    </r>
    <r>
      <rPr>
        <i/>
        <sz val="10"/>
        <color rgb="FF808080"/>
        <rFont val="Arial"/>
        <family val="2"/>
      </rPr>
      <t>(26/08/2025 5:00:00 PM(UTC-05:00) Bogotá, Lima, Quito)</t>
    </r>
  </si>
  <si>
    <r>
      <t>1 día para terminar </t>
    </r>
    <r>
      <rPr>
        <i/>
        <sz val="10"/>
        <color rgb="FF808080"/>
        <rFont val="Arial"/>
        <family val="2"/>
      </rPr>
      <t>(27/08/2025 5:00:00 PM(UTC-05:00) Bogotá, Lima, Quito)</t>
    </r>
  </si>
  <si>
    <r>
      <t>2 días para terminar </t>
    </r>
    <r>
      <rPr>
        <i/>
        <sz val="10"/>
        <color rgb="FF808080"/>
        <rFont val="Arial"/>
        <family val="2"/>
      </rPr>
      <t>(28/08/2025 5:00:00 PM(UTC-05:00) Bogotá, Lima, Quito)</t>
    </r>
  </si>
  <si>
    <r>
      <t>7 días para terminar </t>
    </r>
    <r>
      <rPr>
        <i/>
        <sz val="10"/>
        <color rgb="FF808080"/>
        <rFont val="Arial"/>
        <family val="2"/>
      </rPr>
      <t>(3/09/2025 10:00:00 AM(UTC-05:00) Bogotá, Lima, Quito)</t>
    </r>
  </si>
  <si>
    <r>
      <t>7 días para terminar </t>
    </r>
    <r>
      <rPr>
        <i/>
        <sz val="10"/>
        <color rgb="FF808080"/>
        <rFont val="Arial"/>
        <family val="2"/>
      </rPr>
      <t>(3/09/2025 10:01:00 AM(UTC-05:00) Bogotá, Lima, Quito)</t>
    </r>
  </si>
  <si>
    <r>
      <t>7 días para terminar </t>
    </r>
    <r>
      <rPr>
        <i/>
        <sz val="10"/>
        <color rgb="FF808080"/>
        <rFont val="Arial"/>
        <family val="2"/>
      </rPr>
      <t>(3/09/2025 10:02:00 AM(UTC-05:00) Bogotá, Lima, Quito)</t>
    </r>
  </si>
  <si>
    <r>
      <t>12 días para terminar </t>
    </r>
    <r>
      <rPr>
        <i/>
        <sz val="10"/>
        <color rgb="FF808080"/>
        <rFont val="Arial"/>
        <family val="2"/>
      </rPr>
      <t>(8/09/2025 8:00:00 AM(UTC-05:00) Bogotá, Lima, Quito)</t>
    </r>
  </si>
  <si>
    <r>
      <t>20 días para terminar </t>
    </r>
    <r>
      <rPr>
        <i/>
        <sz val="10"/>
        <color rgb="FF808080"/>
        <rFont val="Arial"/>
        <family val="2"/>
      </rPr>
      <t>(15/09/2025 5:00:00 PM(UTC-05:00) Bogotá, Lima, Quito)</t>
    </r>
  </si>
  <si>
    <r>
      <t>22 días para terminar </t>
    </r>
    <r>
      <rPr>
        <i/>
        <sz val="10"/>
        <color rgb="FF808080"/>
        <rFont val="Arial"/>
        <family val="2"/>
      </rPr>
      <t>(17/09/2025 2:00:00 PM(UTC-05:00) Bogotá, Lima, Quito)</t>
    </r>
  </si>
  <si>
    <r>
      <t>23 días para terminar </t>
    </r>
    <r>
      <rPr>
        <i/>
        <sz val="10"/>
        <color rgb="FF808080"/>
        <rFont val="Arial"/>
        <family val="2"/>
      </rPr>
      <t>(18/09/2025 5:00:00 PM(UTC-05:00) Bogotá, Lima, Quito)</t>
    </r>
  </si>
  <si>
    <r>
      <t>28 días para terminar </t>
    </r>
    <r>
      <rPr>
        <i/>
        <sz val="10"/>
        <color rgb="FF808080"/>
        <rFont val="Arial"/>
        <family val="2"/>
      </rPr>
      <t>(23/09/2025 5:00:00 PM(UTC-05:00) Bogotá, Lima, Quito)</t>
    </r>
  </si>
  <si>
    <r>
      <t>27/06/2025 7:00:00 PM </t>
    </r>
    <r>
      <rPr>
        <i/>
        <sz val="10"/>
        <color rgb="FF808080"/>
        <rFont val="Arial"/>
        <family val="2"/>
      </rPr>
      <t>((UTC-05:00) Bogotá, Lima, Quito)</t>
    </r>
  </si>
  <si>
    <r>
      <t>27/06/2025 6:36:26 PM </t>
    </r>
    <r>
      <rPr>
        <i/>
        <sz val="10"/>
        <color rgb="FF808080"/>
        <rFont val="Arial"/>
        <family val="2"/>
      </rPr>
      <t>((UTC-05:00) Bogotá, Lima, Quito)</t>
    </r>
  </si>
  <si>
    <r>
      <t>15/07/2025 5:00:00 PM </t>
    </r>
    <r>
      <rPr>
        <i/>
        <sz val="10"/>
        <color rgb="FF808080"/>
        <rFont val="Arial"/>
        <family val="2"/>
      </rPr>
      <t>((UTC-05:00) Bogotá, Lima, Quito)</t>
    </r>
  </si>
  <si>
    <r>
      <t>25 días de tiempo transcurrido </t>
    </r>
    <r>
      <rPr>
        <i/>
        <sz val="10"/>
        <color rgb="FF808080"/>
        <rFont val="Arial"/>
        <family val="2"/>
      </rPr>
      <t>(31/07/2025 6:00:00 PM(UTC-05:00) Bogotá, Lima, Quito)</t>
    </r>
  </si>
  <si>
    <r>
      <t>25 días de tiempo transcurrido </t>
    </r>
    <r>
      <rPr>
        <i/>
        <sz val="10"/>
        <color rgb="FF808080"/>
        <rFont val="Arial"/>
        <family val="2"/>
      </rPr>
      <t>(31/07/2025 6:25:59 PM(UTC-05:00) Bogotá, Lima, Quito)</t>
    </r>
  </si>
  <si>
    <r>
      <t>21 días de tiempo transcurrido </t>
    </r>
    <r>
      <rPr>
        <i/>
        <sz val="10"/>
        <color rgb="FF808080"/>
        <rFont val="Arial"/>
        <family val="2"/>
      </rPr>
      <t>(4/08/2025 5:00:00 PM(UTC-05:00) Bogotá, Lima, Quito)</t>
    </r>
  </si>
  <si>
    <r>
      <t>21 días de tiempo transcurrido </t>
    </r>
    <r>
      <rPr>
        <i/>
        <sz val="10"/>
        <color rgb="FF808080"/>
        <rFont val="Arial"/>
        <family val="2"/>
      </rPr>
      <t>(5/08/2025 3:00:00 PM(UTC-05:00) Bogotá, Lima, Quito)</t>
    </r>
  </si>
  <si>
    <t>Respuesta a las observaciones a los Pliegos de Condiciones definitivos</t>
  </si>
  <si>
    <r>
      <t>18 días de tiempo transcurrido </t>
    </r>
    <r>
      <rPr>
        <i/>
        <sz val="10"/>
        <color rgb="FF808080"/>
        <rFont val="Arial"/>
        <family val="2"/>
      </rPr>
      <t>(8/08/2025 3:00:00 PM(UTC-05:00) Bogotá, Lima, Quito)</t>
    </r>
  </si>
  <si>
    <r>
      <t>15 días de tiempo transcurrido </t>
    </r>
    <r>
      <rPr>
        <i/>
        <sz val="10"/>
        <color rgb="FF808080"/>
        <rFont val="Arial"/>
        <family val="2"/>
      </rPr>
      <t>(11/08/2025 3:00:00 PM(UTC-05:00) Bogotá, Lima, Quito)</t>
    </r>
  </si>
  <si>
    <r>
      <t>11 días de tiempo transcurrido </t>
    </r>
    <r>
      <rPr>
        <i/>
        <sz val="10"/>
        <color rgb="FF808080"/>
        <rFont val="Arial"/>
        <family val="2"/>
      </rPr>
      <t>(15/08/2025 7:00:00 AM(UTC-05:00) Bogotá, Lima, Quito)</t>
    </r>
  </si>
  <si>
    <r>
      <t>11 días de tiempo transcurrido </t>
    </r>
    <r>
      <rPr>
        <i/>
        <sz val="10"/>
        <color rgb="FF808080"/>
        <rFont val="Arial"/>
        <family val="2"/>
      </rPr>
      <t>(15/08/2025 9:00:00 AM(UTC-05:00) Bogotá, Lima, Quito)</t>
    </r>
  </si>
  <si>
    <r>
      <t>11 días de tiempo transcurrido </t>
    </r>
    <r>
      <rPr>
        <i/>
        <sz val="10"/>
        <color rgb="FF808080"/>
        <rFont val="Arial"/>
        <family val="2"/>
      </rPr>
      <t>(15/08/2025 9:10:00 AM(UTC-05:00) Bogotá, Lima, Quito)</t>
    </r>
  </si>
  <si>
    <r>
      <t>3 días de tiempo transcurrido </t>
    </r>
    <r>
      <rPr>
        <i/>
        <sz val="10"/>
        <color rgb="FF808080"/>
        <rFont val="Arial"/>
        <family val="2"/>
      </rPr>
      <t>(22/08/2025 5:00:00 PM(UTC-05:00) Bogotá, Lima, Quito)</t>
    </r>
  </si>
  <si>
    <r>
      <t>3 días para terminar </t>
    </r>
    <r>
      <rPr>
        <i/>
        <sz val="10"/>
        <color rgb="FF808080"/>
        <rFont val="Arial"/>
        <family val="2"/>
      </rPr>
      <t>(29/08/2025 5:00:00 PM(UTC-05:00) Bogotá, Lima, Quito)</t>
    </r>
  </si>
  <si>
    <r>
      <t>5 días para terminar </t>
    </r>
    <r>
      <rPr>
        <i/>
        <sz val="10"/>
        <color rgb="FF808080"/>
        <rFont val="Arial"/>
        <family val="2"/>
      </rPr>
      <t>(1/09/2025 9:00:00 AM(UTC-05:00) Bogotá, Lima, Quito)</t>
    </r>
  </si>
  <si>
    <r>
      <t>7 días para terminar </t>
    </r>
    <r>
      <rPr>
        <i/>
        <sz val="10"/>
        <color rgb="FF808080"/>
        <rFont val="Arial"/>
        <family val="2"/>
      </rPr>
      <t>(2/09/2025 5:00:00 PM(UTC-05:00) Bogotá, Lima, Quito)</t>
    </r>
  </si>
  <si>
    <r>
      <t>8 días para terminar </t>
    </r>
    <r>
      <rPr>
        <i/>
        <sz val="10"/>
        <color rgb="FF808080"/>
        <rFont val="Arial"/>
        <family val="2"/>
      </rPr>
      <t>(3/09/2025 5:00:00 PM(UTC-05:00) Bogotá, Lima, Quito)</t>
    </r>
  </si>
  <si>
    <t>Mayra epe</t>
  </si>
  <si>
    <t>Informe inicial</t>
  </si>
  <si>
    <t xml:space="preserve">Segun cronograma de platafroma el proceso (25/08/2025 9:48:20 AM(UTC-05:00) Bogotá, Lima, Quito), se informa en platafroma que se adendara la publicacion del informe prelimirar. No se evidencia publicacion. Se debe sanear </t>
  </si>
  <si>
    <t>No se diligencia Anexo 2 cronograma</t>
  </si>
  <si>
    <t>No se publica informe preliminar en fecha estipulada</t>
  </si>
  <si>
    <t>Se debe sanear Segun articulo 49 de la ley 80: Del Saneamiento de los Vicios de Procedimiento o de Forma. Ante la ocurrencia de vicios que no constituyan causales de nulidad y cuando las necesidades del servicio lo exijan o las reglas de la buena administración lo aconsejen, el Jefe o representante legal de la entidad, en acto motivado, podrá sanear el correspondiente vicio.</t>
  </si>
  <si>
    <r>
      <t>26 días de tiempo transcurrido </t>
    </r>
    <r>
      <rPr>
        <i/>
        <sz val="10"/>
        <color rgb="FF808080"/>
        <rFont val="Arial"/>
        <family val="2"/>
      </rPr>
      <t>(31/07/2025 5:00:00 PM(UTC-05:00) Bogotá, Lima, Quito)</t>
    </r>
  </si>
  <si>
    <r>
      <t>26 días de tiempo transcurrido </t>
    </r>
    <r>
      <rPr>
        <i/>
        <sz val="10"/>
        <color rgb="FF808080"/>
        <rFont val="Arial"/>
        <family val="2"/>
      </rPr>
      <t>(31/07/2025 5:23:24 PM(UTC-05:00) Bogotá, Lima, Quito)</t>
    </r>
  </si>
  <si>
    <r>
      <t>18 días de tiempo transcurrido </t>
    </r>
    <r>
      <rPr>
        <i/>
        <sz val="10"/>
        <color rgb="FF808080"/>
        <rFont val="Arial"/>
        <family val="2"/>
      </rPr>
      <t>(8/08/2025 5:00:00 PM(UTC-05:00) Bogotá, Lima, Quito)</t>
    </r>
  </si>
  <si>
    <r>
      <t>14 días de tiempo transcurrido </t>
    </r>
    <r>
      <rPr>
        <i/>
        <sz val="10"/>
        <color rgb="FF808080"/>
        <rFont val="Arial"/>
        <family val="2"/>
      </rPr>
      <t>(12/08/2025 4:00:00 PM(UTC-05:00) Bogotá, Lima, Quito)</t>
    </r>
  </si>
  <si>
    <r>
      <t>14 días de tiempo transcurrido </t>
    </r>
    <r>
      <rPr>
        <i/>
        <sz val="10"/>
        <color rgb="FF808080"/>
        <rFont val="Arial"/>
        <family val="2"/>
      </rPr>
      <t>(12/08/2025 5:00:00 PM(UTC-05:00) Bogotá, Lima, Quito)</t>
    </r>
  </si>
  <si>
    <r>
      <t>13 días de tiempo transcurrido </t>
    </r>
    <r>
      <rPr>
        <i/>
        <sz val="10"/>
        <color rgb="FF808080"/>
        <rFont val="Arial"/>
        <family val="2"/>
      </rPr>
      <t>(13/08/2025 5:00:00 PM(UTC-05:00) Bogotá, Lima, Quito)</t>
    </r>
  </si>
  <si>
    <r>
      <t>12 días de tiempo transcurrido </t>
    </r>
    <r>
      <rPr>
        <i/>
        <sz val="10"/>
        <color rgb="FF808080"/>
        <rFont val="Arial"/>
        <family val="2"/>
      </rPr>
      <t>(14/08/2025 5:00:00 PM(UTC-05:00) Bogotá, Lima, Quito)</t>
    </r>
  </si>
  <si>
    <r>
      <t>11 días de tiempo transcurrido </t>
    </r>
    <r>
      <rPr>
        <i/>
        <sz val="10"/>
        <color rgb="FF808080"/>
        <rFont val="Arial"/>
        <family val="2"/>
      </rPr>
      <t>(15/08/2025 5:00:00 PM(UTC-05:00) Bogotá, Lima, Quito)</t>
    </r>
  </si>
  <si>
    <r>
      <t>11 días de tiempo transcurrido </t>
    </r>
    <r>
      <rPr>
        <i/>
        <sz val="10"/>
        <color rgb="FF808080"/>
        <rFont val="Arial"/>
        <family val="2"/>
      </rPr>
      <t>(15/08/2025 5:01:00 PM(UTC-05:00) Bogotá, Lima, Quito)</t>
    </r>
  </si>
  <si>
    <r>
      <t>11 días de tiempo transcurrido </t>
    </r>
    <r>
      <rPr>
        <i/>
        <sz val="10"/>
        <color rgb="FF808080"/>
        <rFont val="Arial"/>
        <family val="2"/>
      </rPr>
      <t>(15/08/2025 5:02:00 PM(UTC-05:00) Bogotá, Lima, Quito)</t>
    </r>
  </si>
  <si>
    <r>
      <t>6 días de tiempo transcurrido </t>
    </r>
    <r>
      <rPr>
        <i/>
        <sz val="10"/>
        <color rgb="FF808080"/>
        <rFont val="Arial"/>
        <family val="2"/>
      </rPr>
      <t>(20/08/2025 5:00:00 PM(UTC-05:00) Bogotá, Lima, Quito)</t>
    </r>
  </si>
  <si>
    <r>
      <t>1 día de tiempo transcurrido </t>
    </r>
    <r>
      <rPr>
        <i/>
        <sz val="10"/>
        <color rgb="FF808080"/>
        <rFont val="Arial"/>
        <family val="2"/>
      </rPr>
      <t>(25/08/2025 5:00:00 PM(UTC-05:00) Bogotá, Lima, Quito)</t>
    </r>
  </si>
  <si>
    <r>
      <t>1 hora para terminar </t>
    </r>
    <r>
      <rPr>
        <i/>
        <sz val="10"/>
        <color rgb="FF808080"/>
        <rFont val="Arial"/>
        <family val="2"/>
      </rPr>
      <t>(27/08/2025 12:00:00 PM(UTC-05:00) Bogotá, Lima, Quito)</t>
    </r>
  </si>
  <si>
    <r>
      <t>1 día para terminar </t>
    </r>
    <r>
      <rPr>
        <i/>
        <sz val="10"/>
        <color rgb="FF808080"/>
        <rFont val="Arial"/>
        <family val="2"/>
      </rPr>
      <t>(28/08/2025 5:00:00 PM(UTC-05:00) Bogotá, Lima, Quito)</t>
    </r>
  </si>
  <si>
    <r>
      <t>2 días para terminar </t>
    </r>
    <r>
      <rPr>
        <i/>
        <sz val="10"/>
        <color rgb="FF808080"/>
        <rFont val="Arial"/>
        <family val="2"/>
      </rPr>
      <t>(29/08/2025 12:00:00 PM(UTC-05:00) Bogotá, Lima, Quito)</t>
    </r>
  </si>
  <si>
    <r>
      <t>5 días para terminar </t>
    </r>
    <r>
      <rPr>
        <i/>
        <sz val="10"/>
        <color rgb="FF808080"/>
        <rFont val="Arial"/>
        <family val="2"/>
      </rPr>
      <t>(1/09/2025 12:00:00 PM(UTC-05:00) Bogotá, Lima, Quito)</t>
    </r>
  </si>
  <si>
    <t>Anexo 2</t>
  </si>
  <si>
    <t xml:space="preserve">Oferta Economica- </t>
  </si>
  <si>
    <t>Oferta economica</t>
  </si>
  <si>
    <t>Se recomienda  diligenciar que valores se  debe ofertar , los  que no y cuales son los topes .</t>
  </si>
  <si>
    <t xml:space="preserve">Se debe diligenciar, ya que existen fechas y link que no se muestras en la plataforma </t>
  </si>
  <si>
    <t>Cronograma SECOP II</t>
  </si>
  <si>
    <t>N/A</t>
  </si>
  <si>
    <t xml:space="preserve">Aprobación de las garantías o pólizas e inicio de ejecución del contrato	1 día de tiempo transcurrido (20/08/2025 5:00:00 PM(UTC-05:00) Bogotá, Lima, Quito). No se evidencia Apertura del proceso (pliegos definitivos . Anexos , matrices, formularios, respuestas oibservaciones. Esta en ejecucion </t>
  </si>
  <si>
    <t>Se evidencia en plataforma proceso Adjudicado y contato Adjudicado. Falta l;a ficha tecnica para que entre en ejecucion</t>
  </si>
  <si>
    <r>
      <t xml:space="preserve">Proceso aperturado. Proceso al dia segun cronograma. Proxima fecha </t>
    </r>
    <r>
      <rPr>
        <b/>
        <sz val="11"/>
        <color rgb="FF000000"/>
        <rFont val="Calibri"/>
        <family val="2"/>
        <scheme val="minor"/>
      </rPr>
      <t>*Presentación de Ofertas</t>
    </r>
    <r>
      <rPr>
        <sz val="11"/>
        <color indexed="8"/>
        <rFont val="Calibri"/>
        <family val="2"/>
        <scheme val="minor"/>
      </rPr>
      <t xml:space="preserve"> 	5 días para terminar (3/09/2025 10:00:00 AM(UTC-05:00) Bogotá, Lima, Quito)</t>
    </r>
  </si>
  <si>
    <r>
      <t>16/07/2025 3:35:51 PM </t>
    </r>
    <r>
      <rPr>
        <i/>
        <sz val="10"/>
        <color rgb="FF808080"/>
        <rFont val="Arial"/>
        <family val="2"/>
      </rPr>
      <t>((UTC-05:00) Bogotá, Lima, Quito)</t>
    </r>
  </si>
  <si>
    <r>
      <t>23/07/2025 6:58:00 PM </t>
    </r>
    <r>
      <rPr>
        <i/>
        <sz val="10"/>
        <color rgb="FF808080"/>
        <rFont val="Arial"/>
        <family val="2"/>
      </rPr>
      <t>((UTC-05:00) Bogotá, Lima, Quito)</t>
    </r>
  </si>
  <si>
    <r>
      <t>28 días de tiempo transcurrido </t>
    </r>
    <r>
      <rPr>
        <i/>
        <sz val="10"/>
        <color rgb="FF808080"/>
        <rFont val="Arial"/>
        <family val="2"/>
      </rPr>
      <t>(30/07/2025 7:00:00 PM(UTC-05:00) Bogotá, Lima, Quito)</t>
    </r>
  </si>
  <si>
    <r>
      <t>23 días de tiempo transcurrido </t>
    </r>
    <r>
      <rPr>
        <i/>
        <sz val="10"/>
        <color rgb="FF808080"/>
        <rFont val="Arial"/>
        <family val="2"/>
      </rPr>
      <t>(5/08/2025 9:00:00 AM(UTC-05:00) Bogotá, Lima, Quito)</t>
    </r>
  </si>
  <si>
    <r>
      <t>23 días de tiempo transcurrido </t>
    </r>
    <r>
      <rPr>
        <i/>
        <sz val="10"/>
        <color rgb="FF808080"/>
        <rFont val="Arial"/>
        <family val="2"/>
      </rPr>
      <t>(5/08/2025 9:01:00 AM(UTC-05:00) Bogotá, Lima, Quito)</t>
    </r>
  </si>
  <si>
    <r>
      <t>22 días de tiempo transcurrido </t>
    </r>
    <r>
      <rPr>
        <i/>
        <sz val="10"/>
        <color rgb="FF808080"/>
        <rFont val="Arial"/>
        <family val="2"/>
      </rPr>
      <t>(5/08/2025 11:59:00 AM(UTC-05:00) Bogotá, Lima, Quito)</t>
    </r>
  </si>
  <si>
    <r>
      <t>15 días de tiempo transcurrido </t>
    </r>
    <r>
      <rPr>
        <i/>
        <sz val="10"/>
        <color rgb="FF808080"/>
        <rFont val="Arial"/>
        <family val="2"/>
      </rPr>
      <t>(12/08/2025 11:59:00 PM(UTC-05:00) Bogotá, Lima, Quito)</t>
    </r>
  </si>
  <si>
    <r>
      <t>7 días de tiempo transcurrido </t>
    </r>
    <r>
      <rPr>
        <i/>
        <sz val="10"/>
        <color rgb="FF808080"/>
        <rFont val="Arial"/>
        <family val="2"/>
      </rPr>
      <t>(20/08/2025 5:00:00 PM(UTC-05:00) Bogotá, Lima, Quito)</t>
    </r>
  </si>
  <si>
    <r>
      <t>2 días de tiempo transcurrido </t>
    </r>
    <r>
      <rPr>
        <i/>
        <sz val="10"/>
        <color rgb="FF808080"/>
        <rFont val="Arial"/>
        <family val="2"/>
      </rPr>
      <t>(26/08/2025 9:00:00 AM(UTC-05:00) Bogotá, Lima, Quito)</t>
    </r>
  </si>
  <si>
    <r>
      <t>1 día para terminar </t>
    </r>
    <r>
      <rPr>
        <i/>
        <sz val="10"/>
        <color rgb="FF808080"/>
        <rFont val="Arial"/>
        <family val="2"/>
      </rPr>
      <t>(29/08/2025 11:59:00 PM(UTC-05:00) Bogotá, Lima, Quito)</t>
    </r>
  </si>
  <si>
    <r>
      <t>6 días para terminar </t>
    </r>
    <r>
      <rPr>
        <i/>
        <sz val="10"/>
        <color rgb="FF808080"/>
        <rFont val="Arial"/>
        <family val="2"/>
      </rPr>
      <t>(3/09/2025 11:59:00 PM(UTC-05:00) Bogotá, Lima, Quito)</t>
    </r>
  </si>
  <si>
    <r>
      <t>11 días para terminar </t>
    </r>
    <r>
      <rPr>
        <i/>
        <sz val="10"/>
        <color rgb="FF808080"/>
        <rFont val="Arial"/>
        <family val="2"/>
      </rPr>
      <t>(8/09/2025 12:00:00 PM(UTC-05:00) Bogotá, Lima, Quito)</t>
    </r>
  </si>
  <si>
    <t>SECOP</t>
  </si>
  <si>
    <t>SANTIAGO DE CALI DISTRITO ESPECIAL- UNIDAD ADMINISTRATIVA ESPECIAL DE GESTION DE BIENES Y SERVICIOS - CALI</t>
  </si>
  <si>
    <t>SANTIAGO DE CALI DISTRITO ESPECIAL - SECRETARIA DE BIENESTAR SOCIAL</t>
  </si>
  <si>
    <t>Control Interno</t>
  </si>
  <si>
    <t>SANTIAGO DE CALI DISTRITO ESPECIAL - DEPARTAMENTO ADMINISTRATIVO DE CONTROL INTERNO</t>
  </si>
  <si>
    <t>Control interno Disciplinario</t>
  </si>
  <si>
    <t>SANTIAGO DE CALI DISTRITO ESPECIAL - DEPARTAMENTO ADMINISTRATIVO DE CONTROL DISCIPLINARIO INTERNO</t>
  </si>
  <si>
    <t>SANTIAGO DE CALI DISTRITO ESPECIAL - SECRETARIA DE CULTURA</t>
  </si>
  <si>
    <t>DACP</t>
  </si>
  <si>
    <t>SANTIAGO DE CALI DISTRITO ESPECIAL - DEPARTAMENTO ADMINISTRATIVO DE CONTRATACION PUBLICA</t>
  </si>
  <si>
    <t>DADII</t>
  </si>
  <si>
    <t>SANTIAGO DE CALI DISTRITO ESPECIAL -DEPARTAMENTO ADMINISTRATIVO DE DESARROLLO E INNOVACION INSTITUCIONAL</t>
  </si>
  <si>
    <t>DAGMA</t>
  </si>
  <si>
    <t>DEPARTAMENTO ADMINISTRATIVO DE GESTION DEL MEDIO AMBIENTE DAGMA</t>
  </si>
  <si>
    <t>SANTIAGO DE CALI DISTRITO ESPECIAL - DEPARTAMENTO ADMINISTRATIVO DE TECNOLOGIAS DE LA INFORMACION Y LAS COMUNICACIONES</t>
  </si>
  <si>
    <t>SANTIAGO DE CALI DISTRITO ESPECIAL - SECRETARIA DEL DEPORTE Y LA RECREACIÓN</t>
  </si>
  <si>
    <t>SANTIAGO DE CALI DISTRITO ESPECIAL - SECRETARIA DE DESARROLLO ECONOMICO</t>
  </si>
  <si>
    <t>SECRETARIA DE EDUCACION DE CALI</t>
  </si>
  <si>
    <t>Gobierno</t>
  </si>
  <si>
    <t>SANTIAGO DE CALI DISTRITO ESPECIAL - SECRETARIA DE GOBIERNO</t>
  </si>
  <si>
    <t>SANTIAGO DE CALI DISTRITO ESPECIAL - DEPARTAMENTO ADMINISTRATIVO DE HACIENDA</t>
  </si>
  <si>
    <t>SANTIAGO DE CALI DISTRITO ESPECIAL - SECRETARIA DE INFRAESTRUCTURA</t>
  </si>
  <si>
    <t>Juridica</t>
  </si>
  <si>
    <t>SANTIAGO DE CALI DISTRITO ESPECIAL - DEPARTAMENTO ADMINISTRATIVO DE GESTION JURIDICA PUBLICA</t>
  </si>
  <si>
    <t>Movilidad</t>
  </si>
  <si>
    <t>SANTIAGO DE CALI DISTRITO ESPECIAL - SECRETARIA DE MOVILIDAD</t>
  </si>
  <si>
    <t>SANTIAGO DE CALI DISTRITO ESPECIAL - SECRETARIA DE DESARROLLO TERRITORIAL Y PARTICIPACION CIUDADANA</t>
  </si>
  <si>
    <t>Paz y Cultura</t>
  </si>
  <si>
    <t>SANTIAGO DE CALI DISTRITO ESPECIAL - SECRETARIA DE PAZ Y CULTURA CIUDADANA</t>
  </si>
  <si>
    <t>Planeación</t>
  </si>
  <si>
    <t>PLANEACIÓN MUNICIPAL CALI**</t>
  </si>
  <si>
    <t>Riesgos</t>
  </si>
  <si>
    <t>SANTIAGO DE CALI DISTRITO ESPECIAL - SECRETARÍA DE GESTIÓN DEL RIESGO DE EMERGENCIAS Y DESASTRE</t>
  </si>
  <si>
    <t>Salud</t>
  </si>
  <si>
    <t>SANTIAGO DE CALI DISTRITO ESPECIAL - SECRETARIA DISTRITAL DE SALUD DE CALI</t>
  </si>
  <si>
    <t>Seguridad y Justicia</t>
  </si>
  <si>
    <t>SANTIAGO DE CALI DISTRITO ESPECIAL - SECRETARIA DE SEGURIDAD Y JUSTICIA</t>
  </si>
  <si>
    <t>Turismo</t>
  </si>
  <si>
    <t>SANTIAGO DE CALI DISTRITO ESPECIAL- SECRETARIA DE TURISMO</t>
  </si>
  <si>
    <t>UAEPA</t>
  </si>
  <si>
    <t>UAEPA2</t>
  </si>
  <si>
    <t>UAESPM</t>
  </si>
  <si>
    <t>SANTIAGO DE CALI DISTRITO ESPECIAL - UNIDAD ADMINISTRATIVA ESPECIAL DE SERVICIOS PUBLICOS</t>
  </si>
  <si>
    <t>SANTIAGO DE CALI DISTRITO ESPECIAL - SECRETARIA DE VIVIENDA SOCIAL Y HABITAT</t>
  </si>
  <si>
    <t>https://www.secop.gov.co/CO1BusinessLine/Tendering/ContractNoticeView/Index?Notice=CO1.NTC.8534337</t>
  </si>
  <si>
    <t>https://www.secop.gov.co/CO1BusinessLine/Tendering/ContractNoticeView/Index?Notice=CO1.NTC.8533589</t>
  </si>
  <si>
    <t xml:space="preserve">Link Estado real SECOP II </t>
  </si>
  <si>
    <t>https://www.secop.gov.co/CO1BusinessLine/Tendering/ContractNoticeView/Index?Notice=CO1.NTC.8533449</t>
  </si>
  <si>
    <t>https://www.secop.gov.co/CO1BusinessLine/Tendering/ContractNoticeView/Index?Notice=CO1.NTC.8536225</t>
  </si>
  <si>
    <t>https://www.secop.gov.co/CO1BusinessLine/Tendering/ContractNoticeView/Index?Notice=CO1.NTC.8652108</t>
  </si>
  <si>
    <t>Realizar mantenimiento de canchas múltiples y canchas sintéticas de los escenarios y espacios deportivos priorizados del Distrito Especial de Santiago de Cali, con recursos del empréstito.</t>
  </si>
  <si>
    <t>https://www.secop.gov.co/CO1BusinessLine/Tendering/ContractNoticeView/Index?Notice=CO1.NTC.8449825</t>
  </si>
  <si>
    <t>https://www.secop.gov.co/CO1BusinessLine/Tendering/ContractNoticeView/Index?Notice=CO1.NTC.8513287</t>
  </si>
  <si>
    <t>https://www.secop.gov.co/CO1BusinessLine/Tendering/ContractNoticeView/Index?Notice=CO1.NTC.8427829</t>
  </si>
  <si>
    <t>x</t>
  </si>
  <si>
    <r>
      <t>25/07/2025 5:00:00 PM </t>
    </r>
    <r>
      <rPr>
        <i/>
        <sz val="10"/>
        <color rgb="FF808080"/>
        <rFont val="Arial"/>
        <family val="2"/>
      </rPr>
      <t>((UTC-05:00) Bogotá, Lima, Quito)</t>
    </r>
  </si>
  <si>
    <r>
      <t>30 días de tiempo transcurrido </t>
    </r>
    <r>
      <rPr>
        <i/>
        <sz val="10"/>
        <color rgb="FF808080"/>
        <rFont val="Arial"/>
        <family val="2"/>
      </rPr>
      <t>(29/07/2025 7:00:00 PM(UTC-05:00) Bogotá, Lima, Quito)</t>
    </r>
  </si>
  <si>
    <r>
      <t>29 días de tiempo transcurrido </t>
    </r>
    <r>
      <rPr>
        <i/>
        <sz val="10"/>
        <color rgb="FF808080"/>
        <rFont val="Arial"/>
        <family val="2"/>
      </rPr>
      <t>(30/07/2025 7:00:00 PM(UTC-05:00) Bogotá, Lima, Quito)</t>
    </r>
  </si>
  <si>
    <r>
      <t>27 días de tiempo transcurrido </t>
    </r>
    <r>
      <rPr>
        <i/>
        <sz val="10"/>
        <color rgb="FF808080"/>
        <rFont val="Arial"/>
        <family val="2"/>
      </rPr>
      <t>(1/08/2025 11:00:00 AM(UTC-05:00) Bogotá, Lima, Quito)</t>
    </r>
  </si>
  <si>
    <r>
      <t>27 días de tiempo transcurrido </t>
    </r>
    <r>
      <rPr>
        <i/>
        <sz val="10"/>
        <color rgb="FF808080"/>
        <rFont val="Arial"/>
        <family val="2"/>
      </rPr>
      <t>(1/08/2025 5:00:00 PM(UTC-05:00) Bogotá, Lima, Quito)</t>
    </r>
  </si>
  <si>
    <r>
      <t>24 días de tiempo transcurrido </t>
    </r>
    <r>
      <rPr>
        <i/>
        <sz val="10"/>
        <color rgb="FF808080"/>
        <rFont val="Arial"/>
        <family val="2"/>
      </rPr>
      <t>(4/08/2025 7:00:00 PM(UTC-05:00) Bogotá, Lima, Quito)</t>
    </r>
  </si>
  <si>
    <r>
      <t>23 días de tiempo transcurrido </t>
    </r>
    <r>
      <rPr>
        <i/>
        <sz val="10"/>
        <color rgb="FF808080"/>
        <rFont val="Arial"/>
        <family val="2"/>
      </rPr>
      <t>(5/08/2025 7:00:00 PM(UTC-05:00) Bogotá, Lima, Quito)</t>
    </r>
  </si>
  <si>
    <r>
      <t>16 días de tiempo transcurrido </t>
    </r>
    <r>
      <rPr>
        <i/>
        <sz val="10"/>
        <color rgb="FF808080"/>
        <rFont val="Arial"/>
        <family val="2"/>
      </rPr>
      <t>(12/08/2025 4:00:00 PM(UTC-05:00) Bogotá, Lima, Quito)</t>
    </r>
  </si>
  <si>
    <r>
      <t>16 días de tiempo transcurrido </t>
    </r>
    <r>
      <rPr>
        <i/>
        <sz val="10"/>
        <color rgb="FF808080"/>
        <rFont val="Arial"/>
        <family val="2"/>
      </rPr>
      <t>(12/08/2025 4:03:00 PM(UTC-05:00) Bogotá, Lima, Quito)</t>
    </r>
  </si>
  <si>
    <r>
      <t>16 días de tiempo transcurrido </t>
    </r>
    <r>
      <rPr>
        <i/>
        <sz val="10"/>
        <color rgb="FF808080"/>
        <rFont val="Arial"/>
        <family val="2"/>
      </rPr>
      <t>(12/08/2025 4:05:00 PM(UTC-05:00) Bogotá, Lima, Quito)</t>
    </r>
  </si>
  <si>
    <r>
      <t>9 días de tiempo transcurrido </t>
    </r>
    <r>
      <rPr>
        <i/>
        <sz val="10"/>
        <color rgb="FF808080"/>
        <rFont val="Arial"/>
        <family val="2"/>
      </rPr>
      <t>(19/08/2025 7:00:00 PM(UTC-05:00) Bogotá, Lima, Quito)</t>
    </r>
  </si>
  <si>
    <r>
      <t>2 días de tiempo transcurrido </t>
    </r>
    <r>
      <rPr>
        <i/>
        <sz val="10"/>
        <color rgb="FF808080"/>
        <rFont val="Arial"/>
        <family val="2"/>
      </rPr>
      <t>(26/08/2025 5:00:00 PM(UTC-05:00) Bogotá, Lima, Quito)</t>
    </r>
  </si>
  <si>
    <r>
      <t>1 día de tiempo transcurrido </t>
    </r>
    <r>
      <rPr>
        <i/>
        <sz val="10"/>
        <color rgb="FF808080"/>
        <rFont val="Arial"/>
        <family val="2"/>
      </rPr>
      <t>(27/08/2025 12:00:00 PM(UTC-05:00) Bogotá, Lima, Quito)</t>
    </r>
  </si>
  <si>
    <r>
      <t>8 horas para terminar </t>
    </r>
    <r>
      <rPr>
        <i/>
        <sz val="10"/>
        <color rgb="FF808080"/>
        <rFont val="Arial"/>
        <family val="2"/>
      </rPr>
      <t>(29/08/2025 7:00:00 PM(UTC-05:00) Bogotá, Lima, Quito)</t>
    </r>
  </si>
  <si>
    <r>
      <t>3 días para terminar </t>
    </r>
    <r>
      <rPr>
        <i/>
        <sz val="10"/>
        <color rgb="FF808080"/>
        <rFont val="Arial"/>
        <family val="2"/>
      </rPr>
      <t>(1/09/2025 7:00:00 PM(UTC-05:00) Bogotá, Lima, Quito)</t>
    </r>
  </si>
  <si>
    <r>
      <t>4 días para terminar </t>
    </r>
    <r>
      <rPr>
        <i/>
        <sz val="10"/>
        <color rgb="FF808080"/>
        <rFont val="Arial"/>
        <family val="2"/>
      </rPr>
      <t>(2/09/2025 7:00:00 PM(UTC-05:00) Bogotá, Lima, Quito)</t>
    </r>
  </si>
  <si>
    <r>
      <t>28 días de tiempo transcurrido </t>
    </r>
    <r>
      <rPr>
        <i/>
        <sz val="10"/>
        <color rgb="FF808080"/>
        <rFont val="Arial"/>
        <family val="2"/>
      </rPr>
      <t>(31/07/2025 5:33:35 PM(UTC-05:00) Bogotá, Lima, Quito)</t>
    </r>
  </si>
  <si>
    <r>
      <t>28 días de tiempo transcurrido </t>
    </r>
    <r>
      <rPr>
        <i/>
        <sz val="10"/>
        <color rgb="FF808080"/>
        <rFont val="Arial"/>
        <family val="2"/>
      </rPr>
      <t>(31/07/2025 11:59:00 PM(UTC-05:00) Bogotá, Lima, Quito)</t>
    </r>
  </si>
  <si>
    <r>
      <t>27 días de tiempo transcurrido </t>
    </r>
    <r>
      <rPr>
        <i/>
        <sz val="10"/>
        <color rgb="FF808080"/>
        <rFont val="Arial"/>
        <family val="2"/>
      </rPr>
      <t>(1/08/2025 6:00:00 PM(UTC-05:00) Bogotá, Lima, Quito)</t>
    </r>
  </si>
  <si>
    <r>
      <t>24 días de tiempo transcurrido </t>
    </r>
    <r>
      <rPr>
        <i/>
        <sz val="10"/>
        <color rgb="FF808080"/>
        <rFont val="Arial"/>
        <family val="2"/>
      </rPr>
      <t>(4/08/2025 6:55:00 PM(UTC-05:00) Bogotá, Lima, Quito)</t>
    </r>
  </si>
  <si>
    <r>
      <t>23 días de tiempo transcurrido </t>
    </r>
    <r>
      <rPr>
        <i/>
        <sz val="10"/>
        <color rgb="FF808080"/>
        <rFont val="Arial"/>
        <family val="2"/>
      </rPr>
      <t>(6/08/2025 11:00:00 AM(UTC-05:00) Bogotá, Lima, Quito)</t>
    </r>
  </si>
  <si>
    <r>
      <t>23 días de tiempo transcurrido </t>
    </r>
    <r>
      <rPr>
        <i/>
        <sz val="10"/>
        <color rgb="FF808080"/>
        <rFont val="Arial"/>
        <family val="2"/>
      </rPr>
      <t>(6/08/2025 11:05:00 AM(UTC-05:00) Bogotá, Lima, Quito)</t>
    </r>
  </si>
  <si>
    <r>
      <t>23 días de tiempo transcurrido </t>
    </r>
    <r>
      <rPr>
        <i/>
        <sz val="10"/>
        <color rgb="FF808080"/>
        <rFont val="Arial"/>
        <family val="2"/>
      </rPr>
      <t>(6/08/2025 11:10:00 AM(UTC-05:00) Bogotá, Lima, Quito)</t>
    </r>
  </si>
  <si>
    <r>
      <t>17 días de tiempo transcurrido </t>
    </r>
    <r>
      <rPr>
        <i/>
        <sz val="10"/>
        <color rgb="FF808080"/>
        <rFont val="Arial"/>
        <family val="2"/>
      </rPr>
      <t>(11/08/2025 11:59:00 PM(UTC-05:00) Bogotá, Lima, Quito)</t>
    </r>
  </si>
  <si>
    <r>
      <t>14 días de tiempo transcurrido </t>
    </r>
    <r>
      <rPr>
        <i/>
        <sz val="10"/>
        <color rgb="FF808080"/>
        <rFont val="Arial"/>
        <family val="2"/>
      </rPr>
      <t>(14/08/2025 11:59:00 PM(UTC-05:00) Bogotá, Lima, Quito)</t>
    </r>
  </si>
  <si>
    <r>
      <t>9 días de tiempo transcurrido </t>
    </r>
    <r>
      <rPr>
        <i/>
        <sz val="10"/>
        <color rgb="FF808080"/>
        <rFont val="Arial"/>
        <family val="2"/>
      </rPr>
      <t>(20/08/2025 8:00:00 AM(UTC-05:00) Bogotá, Lima, Quito)</t>
    </r>
  </si>
  <si>
    <r>
      <t>7 días de tiempo transcurrido </t>
    </r>
    <r>
      <rPr>
        <i/>
        <sz val="10"/>
        <color rgb="FF808080"/>
        <rFont val="Arial"/>
        <family val="2"/>
      </rPr>
      <t>(21/08/2025 11:59:00 PM(UTC-05:00) Bogotá, Lima, Quito)</t>
    </r>
  </si>
  <si>
    <r>
      <t>6 días de tiempo transcurrido </t>
    </r>
    <r>
      <rPr>
        <i/>
        <sz val="10"/>
        <color rgb="FF808080"/>
        <rFont val="Arial"/>
        <family val="2"/>
      </rPr>
      <t>(22/08/2025 11:59:00 PM(UTC-05:00) Bogotá, Lima, Quito)</t>
    </r>
  </si>
  <si>
    <r>
      <t>3 días de tiempo transcurrido </t>
    </r>
    <r>
      <rPr>
        <i/>
        <sz val="10"/>
        <color rgb="FF808080"/>
        <rFont val="Arial"/>
        <family val="2"/>
      </rPr>
      <t>(25/08/2025 5:00:00 PM(UTC-05:00) Bogotá, Lima, Quito)</t>
    </r>
  </si>
  <si>
    <t>Aprobación de Póliza e inicio de ejecución del contrato</t>
  </si>
  <si>
    <t xml:space="preserve">	Expedición del acto de adjudicación o de declaratoria desierta  '29/08/2025 11:59:00 PM ((UTC-05:00) Bogotá, Lima, Quito)' Firma del Contrato '2/09/2025 11:59:00 PM ((UTC-05:00) Bogotá, Lima, Quito)'.</t>
  </si>
  <si>
    <t>Contrato firmdo y en ejecucon</t>
  </si>
  <si>
    <t>https://www.secop.gov.co/CO1BusinessLine/Tendering/ContractNoticeView/Index?Notice=CO1.NTC.8533754</t>
  </si>
  <si>
    <r>
      <t>18/07/2025 7:26:22 PM </t>
    </r>
    <r>
      <rPr>
        <i/>
        <sz val="10"/>
        <color rgb="FF808080"/>
        <rFont val="Arial"/>
        <family val="2"/>
      </rPr>
      <t>((UTC-05:00) Bogotá, Lima, Quito)</t>
    </r>
  </si>
  <si>
    <r>
      <t>29/07/2025 10:00:00 AM </t>
    </r>
    <r>
      <rPr>
        <i/>
        <sz val="10"/>
        <color rgb="FF808080"/>
        <rFont val="Arial"/>
        <family val="2"/>
      </rPr>
      <t>((UTC-05:00) Bogotá, Lima, Quito)</t>
    </r>
  </si>
  <si>
    <r>
      <t>29/07/2025 10:01:00 AM </t>
    </r>
    <r>
      <rPr>
        <i/>
        <sz val="10"/>
        <color rgb="FF808080"/>
        <rFont val="Arial"/>
        <family val="2"/>
      </rPr>
      <t>((UTC-05:00) Bogotá, Lima, Quito)</t>
    </r>
  </si>
  <si>
    <r>
      <t>29/07/2025 10:02:00 AM </t>
    </r>
    <r>
      <rPr>
        <i/>
        <sz val="10"/>
        <color rgb="FF808080"/>
        <rFont val="Arial"/>
        <family val="2"/>
      </rPr>
      <t>((UTC-05:00) Bogotá, Lima, Quito)</t>
    </r>
  </si>
  <si>
    <r>
      <t>24 días de tiempo transcurrido </t>
    </r>
    <r>
      <rPr>
        <i/>
        <sz val="10"/>
        <color rgb="FF808080"/>
        <rFont val="Arial"/>
        <family val="2"/>
      </rPr>
      <t>(4/08/2025 11:59:00 PM(UTC-05:00) Bogotá, Lima, Quito)</t>
    </r>
  </si>
  <si>
    <r>
      <t>16 días de tiempo transcurrido </t>
    </r>
    <r>
      <rPr>
        <i/>
        <sz val="10"/>
        <color rgb="FF808080"/>
        <rFont val="Arial"/>
        <family val="2"/>
      </rPr>
      <t>(12/08/2025 5:00:00 PM(UTC-05:00) Bogotá, Lima, Quito)</t>
    </r>
  </si>
  <si>
    <r>
      <t>10 días de tiempo transcurrido </t>
    </r>
    <r>
      <rPr>
        <i/>
        <sz val="10"/>
        <color rgb="FF808080"/>
        <rFont val="Arial"/>
        <family val="2"/>
      </rPr>
      <t>(19/08/2025 9:00:00 AM(UTC-05:00) Bogotá, Lima, Quito)</t>
    </r>
  </si>
  <si>
    <r>
      <t>8 días de tiempo transcurrido </t>
    </r>
    <r>
      <rPr>
        <i/>
        <sz val="10"/>
        <color rgb="FF808080"/>
        <rFont val="Arial"/>
        <family val="2"/>
      </rPr>
      <t>(20/08/2025 11:59:00 PM(UTC-05:00) Bogotá, Lima, Quito)</t>
    </r>
  </si>
  <si>
    <t xml:space="preserve">Pendiente de firma de contrato y ejecucion </t>
  </si>
  <si>
    <t>https://www.secop.gov.co/CO1BusinessLine/Tendering/ContractNoticeView/Index?Notice=CO1.NTC.8465685</t>
  </si>
  <si>
    <t>https://www.secop.gov.co/CO1BusinessLine/Tendering/ContractNoticeView/Index?Notice=CO1.NTC.8495489</t>
  </si>
  <si>
    <r>
      <t>24/07/2025 11:59:00 PM </t>
    </r>
    <r>
      <rPr>
        <i/>
        <sz val="10"/>
        <color rgb="FF808080"/>
        <rFont val="Arial"/>
        <family val="2"/>
      </rPr>
      <t>((UTC-05:00) Bogotá, Lima, Quito)</t>
    </r>
  </si>
  <si>
    <r>
      <t>24/07/2025 9:24:27 PM </t>
    </r>
    <r>
      <rPr>
        <i/>
        <sz val="10"/>
        <color rgb="FF808080"/>
        <rFont val="Arial"/>
        <family val="2"/>
      </rPr>
      <t>((UTC-05:00) Bogotá, Lima, Quito)</t>
    </r>
  </si>
  <si>
    <r>
      <t>28/07/2025 10:00:00 AM </t>
    </r>
    <r>
      <rPr>
        <i/>
        <sz val="10"/>
        <color rgb="FF808080"/>
        <rFont val="Arial"/>
        <family val="2"/>
      </rPr>
      <t>((UTC-05:00) Bogotá, Lima, Quito)</t>
    </r>
  </si>
  <si>
    <r>
      <t>28/07/2025 5:00:00 PM </t>
    </r>
    <r>
      <rPr>
        <i/>
        <sz val="10"/>
        <color rgb="FF808080"/>
        <rFont val="Arial"/>
        <family val="2"/>
      </rPr>
      <t>((UTC-05:00) Bogotá, Lima, Quito)</t>
    </r>
  </si>
  <si>
    <r>
      <t>30 días de tiempo transcurrido </t>
    </r>
    <r>
      <rPr>
        <i/>
        <sz val="10"/>
        <color rgb="FF808080"/>
        <rFont val="Arial"/>
        <family val="2"/>
      </rPr>
      <t>(29/07/2025 5:00:00 PM(UTC-05:00) Bogotá, Lima, Quito)</t>
    </r>
  </si>
  <si>
    <r>
      <t>25 días de tiempo transcurrido </t>
    </r>
    <r>
      <rPr>
        <i/>
        <sz val="10"/>
        <color rgb="FF808080"/>
        <rFont val="Arial"/>
        <family val="2"/>
      </rPr>
      <t>(4/08/2025 10:00:00 AM(UTC-05:00) Bogotá, Lima, Quito)</t>
    </r>
  </si>
  <si>
    <r>
      <t>25 días de tiempo transcurrido </t>
    </r>
    <r>
      <rPr>
        <i/>
        <sz val="10"/>
        <color rgb="FF808080"/>
        <rFont val="Arial"/>
        <family val="2"/>
      </rPr>
      <t>(4/08/2025 10:02:00 AM(UTC-05:00) Bogotá, Lima, Quito)</t>
    </r>
  </si>
  <si>
    <r>
      <t>25 días de tiempo transcurrido </t>
    </r>
    <r>
      <rPr>
        <i/>
        <sz val="10"/>
        <color rgb="FF808080"/>
        <rFont val="Arial"/>
        <family val="2"/>
      </rPr>
      <t>(4/08/2025 10:05:00 AM(UTC-05:00) Bogotá, Lima, Quito)</t>
    </r>
  </si>
  <si>
    <r>
      <t>20 días de tiempo transcurrido </t>
    </r>
    <r>
      <rPr>
        <i/>
        <sz val="10"/>
        <color rgb="FF808080"/>
        <rFont val="Arial"/>
        <family val="2"/>
      </rPr>
      <t>(8/08/2025 11:59:00 PM(UTC-05:00) Bogotá, Lima, Quito)</t>
    </r>
  </si>
  <si>
    <r>
      <t>13 días de tiempo transcurrido </t>
    </r>
    <r>
      <rPr>
        <i/>
        <sz val="10"/>
        <color rgb="FF808080"/>
        <rFont val="Arial"/>
        <family val="2"/>
      </rPr>
      <t>(15/08/2025 7:00:00 PM(UTC-05:00) Bogotá, Lima, Quito)</t>
    </r>
  </si>
  <si>
    <r>
      <t>7 días de tiempo transcurrido </t>
    </r>
    <r>
      <rPr>
        <i/>
        <sz val="10"/>
        <color rgb="FF808080"/>
        <rFont val="Arial"/>
        <family val="2"/>
      </rPr>
      <t>(22/08/2025 8:30:00 AM(UTC-05:00) Bogotá, Lima, Quito)</t>
    </r>
  </si>
  <si>
    <r>
      <t>3 días de tiempo transcurrido </t>
    </r>
    <r>
      <rPr>
        <i/>
        <sz val="10"/>
        <color rgb="FF808080"/>
        <rFont val="Arial"/>
        <family val="2"/>
      </rPr>
      <t>(25/08/2025 11:59:00 PM(UTC-05:00) Bogotá, Lima, Quito)</t>
    </r>
  </si>
  <si>
    <r>
      <t>2 días de tiempo transcurrido </t>
    </r>
    <r>
      <rPr>
        <i/>
        <sz val="10"/>
        <color rgb="FF808080"/>
        <rFont val="Arial"/>
        <family val="2"/>
      </rPr>
      <t>(26/08/2025 11:59:00 PM(UTC-05:00) Bogotá, Lima, Quito)</t>
    </r>
  </si>
  <si>
    <r>
      <t>5 horas para terminar </t>
    </r>
    <r>
      <rPr>
        <i/>
        <sz val="10"/>
        <color rgb="FF808080"/>
        <rFont val="Arial"/>
        <family val="2"/>
      </rPr>
      <t>(29/08/2025 5:00:00 PM(UTC-05:00) Bogotá, Lima, Quito)</t>
    </r>
  </si>
  <si>
    <t>https://www.secop.gov.co/CO1BusinessLine/Tendering/ContractNoticeView/Index?Notice=CO1.NTC.8632462</t>
  </si>
  <si>
    <r>
      <t>28 días de tiempo transcurrido </t>
    </r>
    <r>
      <rPr>
        <i/>
        <sz val="10"/>
        <color rgb="FF808080"/>
        <rFont val="Arial"/>
        <family val="2"/>
      </rPr>
      <t>(31/07/2025 11:00:00 PM(UTC-05:00) Bogotá, Lima, Quito)</t>
    </r>
  </si>
  <si>
    <r>
      <t>28 días de tiempo transcurrido </t>
    </r>
    <r>
      <rPr>
        <i/>
        <sz val="10"/>
        <color rgb="FF808080"/>
        <rFont val="Arial"/>
        <family val="2"/>
      </rPr>
      <t>(31/07/2025 8:09:30 PM(UTC-05:00) Bogotá, Lima, Quito)</t>
    </r>
  </si>
  <si>
    <r>
      <t>20 días de tiempo transcurrido </t>
    </r>
    <r>
      <rPr>
        <i/>
        <sz val="10"/>
        <color rgb="FF808080"/>
        <rFont val="Arial"/>
        <family val="2"/>
      </rPr>
      <t>(8/08/2025 5:00:00 PM(UTC-05:00) Bogotá, Lima, Quito)</t>
    </r>
  </si>
  <si>
    <r>
      <t>16 días de tiempo transcurrido </t>
    </r>
    <r>
      <rPr>
        <i/>
        <sz val="10"/>
        <color rgb="FF808080"/>
        <rFont val="Arial"/>
        <family val="2"/>
      </rPr>
      <t>(12/08/2025 6:00:00 PM(UTC-05:00) Bogotá, Lima, Quito)</t>
    </r>
  </si>
  <si>
    <r>
      <t>16 días de tiempo transcurrido </t>
    </r>
    <r>
      <rPr>
        <i/>
        <sz val="10"/>
        <color rgb="FF808080"/>
        <rFont val="Arial"/>
        <family val="2"/>
      </rPr>
      <t>(12/08/2025 8:00:00 PM(UTC-05:00) Bogotá, Lima, Quito)</t>
    </r>
  </si>
  <si>
    <t>Fecha de publicación del pliego de condiciones definitivo y demostración de interés</t>
  </si>
  <si>
    <r>
      <t>16 días de tiempo transcurrido </t>
    </r>
    <r>
      <rPr>
        <i/>
        <sz val="10"/>
        <color rgb="FF808080"/>
        <rFont val="Arial"/>
        <family val="2"/>
      </rPr>
      <t>(12/08/2025 7:40:15 PM(UTC-05:00) Bogotá, Lima, Quito)</t>
    </r>
  </si>
  <si>
    <t>Plazo para manifestación de interés</t>
  </si>
  <si>
    <r>
      <t>13 días de tiempo transcurrido </t>
    </r>
    <r>
      <rPr>
        <i/>
        <sz val="10"/>
        <color rgb="FF808080"/>
        <rFont val="Arial"/>
        <family val="2"/>
      </rPr>
      <t>(15/08/2025 5:00:00 PM(UTC-05:00) Bogotá, Lima, Quito)</t>
    </r>
  </si>
  <si>
    <r>
      <t>9 días de tiempo transcurrido </t>
    </r>
    <r>
      <rPr>
        <i/>
        <sz val="10"/>
        <color rgb="FF808080"/>
        <rFont val="Arial"/>
        <family val="2"/>
      </rPr>
      <t>(20/08/2025 11:00:00 AM(UTC-05:00) Bogotá, Lima, Quito)</t>
    </r>
  </si>
  <si>
    <r>
      <t>8 días de tiempo transcurrido </t>
    </r>
    <r>
      <rPr>
        <i/>
        <sz val="10"/>
        <color rgb="FF808080"/>
        <rFont val="Arial"/>
        <family val="2"/>
      </rPr>
      <t>(20/08/2025 7:00:00 PM(UTC-05:00) Bogotá, Lima, Quito)</t>
    </r>
  </si>
  <si>
    <r>
      <t>9 días de tiempo transcurrido </t>
    </r>
    <r>
      <rPr>
        <i/>
        <sz val="10"/>
        <color rgb="FF808080"/>
        <rFont val="Arial"/>
        <family val="2"/>
      </rPr>
      <t>(19/08/2025 5:00:00 PM(UTC-05:00) Bogotá, Lima, Quito)</t>
    </r>
  </si>
  <si>
    <r>
      <t>7 días de tiempo transcurrido </t>
    </r>
    <r>
      <rPr>
        <i/>
        <sz val="10"/>
        <color rgb="FF808080"/>
        <rFont val="Arial"/>
        <family val="2"/>
      </rPr>
      <t>(21/08/2025 6:00:00 PM(UTC-05:00) Bogotá, Lima, Quito)</t>
    </r>
  </si>
  <si>
    <r>
      <t>3 días de tiempo transcurrido </t>
    </r>
    <r>
      <rPr>
        <i/>
        <sz val="10"/>
        <color rgb="FF808080"/>
        <rFont val="Arial"/>
        <family val="2"/>
      </rPr>
      <t>(25/08/2025 7:00:00 PM(UTC-05:00) Bogotá, Lima, Quito)</t>
    </r>
  </si>
  <si>
    <r>
      <t>1 día de tiempo transcurrido </t>
    </r>
    <r>
      <rPr>
        <i/>
        <sz val="10"/>
        <color rgb="FF808080"/>
        <rFont val="Arial"/>
        <family val="2"/>
      </rPr>
      <t>(28/08/2025 10:00:00 AM(UTC-05:00) Bogotá, Lima, Quito)</t>
    </r>
  </si>
  <si>
    <r>
      <t>1 día de tiempo transcurrido </t>
    </r>
    <r>
      <rPr>
        <i/>
        <sz val="10"/>
        <color rgb="FF808080"/>
        <rFont val="Arial"/>
        <family val="2"/>
      </rPr>
      <t>(28/08/2025 10:05:00 AM(UTC-05:00) Bogotá, Lima, Quito)</t>
    </r>
  </si>
  <si>
    <r>
      <t>1 día de tiempo transcurrido </t>
    </r>
    <r>
      <rPr>
        <i/>
        <sz val="10"/>
        <color rgb="FF808080"/>
        <rFont val="Arial"/>
        <family val="2"/>
      </rPr>
      <t>(28/08/2025 10:30:00 AM(UTC-05:00) Bogotá, Lima, Quito)</t>
    </r>
  </si>
  <si>
    <r>
      <t>6 días para terminar </t>
    </r>
    <r>
      <rPr>
        <i/>
        <sz val="10"/>
        <color rgb="FF808080"/>
        <rFont val="Arial"/>
        <family val="2"/>
      </rPr>
      <t>(4/09/2025 5:00:00 PM(UTC-05:00) Bogotá, Lima, Quito)</t>
    </r>
  </si>
  <si>
    <r>
      <t>10 días para terminar </t>
    </r>
    <r>
      <rPr>
        <i/>
        <sz val="10"/>
        <color rgb="FF808080"/>
        <rFont val="Arial"/>
        <family val="2"/>
      </rPr>
      <t>(8/09/2025 7:00:00 PM(UTC-05:00) Bogotá, Lima, Quito)</t>
    </r>
  </si>
  <si>
    <r>
      <t>11 días para terminar </t>
    </r>
    <r>
      <rPr>
        <i/>
        <sz val="10"/>
        <color rgb="FF808080"/>
        <rFont val="Arial"/>
        <family val="2"/>
      </rPr>
      <t>(9/09/2025 7:00:00 PM(UTC-05:00) Bogotá, Lima, Quito)</t>
    </r>
  </si>
  <si>
    <r>
      <t>12 días para terminar </t>
    </r>
    <r>
      <rPr>
        <i/>
        <sz val="10"/>
        <color rgb="FF808080"/>
        <rFont val="Arial"/>
        <family val="2"/>
      </rPr>
      <t>(10/09/2025 5:00:00 PM(UTC-05:00) Bogotá, Lima, Quito)</t>
    </r>
  </si>
  <si>
    <r>
      <t>13 días para terminar </t>
    </r>
    <r>
      <rPr>
        <i/>
        <sz val="10"/>
        <color rgb="FF808080"/>
        <rFont val="Arial"/>
        <family val="2"/>
      </rPr>
      <t>(11/09/2025 5:00:00 PM(UTC-05:00) Bogotá, Lima, Quito)</t>
    </r>
  </si>
  <si>
    <t>Publicación del informe de evaluación de las Ofertas	3 días para terminar (1/09/2025 7:00:00 PM(UTC-05:00) Bogotá, Lima, Quito)</t>
  </si>
  <si>
    <t>https://www.secop.gov.co/CO1BusinessLine/Tendering/ContractNoticeView/Index?Notice=CO1.NTC.8569500</t>
  </si>
  <si>
    <r>
      <t>26/07/2025 11:59:00 PM </t>
    </r>
    <r>
      <rPr>
        <i/>
        <sz val="10"/>
        <color rgb="FF808080"/>
        <rFont val="Arial"/>
        <family val="2"/>
      </rPr>
      <t>((UTC-05:00) Bogotá, Lima, Quito)</t>
    </r>
  </si>
  <si>
    <t>Fecha de Publicación del Proyecto de Pliego de Condiciones</t>
  </si>
  <si>
    <r>
      <t>26/07/2025 1:37:06 PM </t>
    </r>
    <r>
      <rPr>
        <i/>
        <sz val="10"/>
        <color rgb="FF808080"/>
        <rFont val="Arial"/>
        <family val="2"/>
      </rPr>
      <t>((UTC-05:00) Bogotá, Lima, Quito)</t>
    </r>
  </si>
  <si>
    <t>Plazo para manifestación de interés de limitar la convocatoria a Mypes y/o Mipymes</t>
  </si>
  <si>
    <t>Respuesta a las observaciones al proyecto de pliegos y condiciones</t>
  </si>
  <si>
    <r>
      <t>23 días de tiempo transcurrido </t>
    </r>
    <r>
      <rPr>
        <i/>
        <sz val="10"/>
        <color rgb="FF808080"/>
        <rFont val="Arial"/>
        <family val="2"/>
      </rPr>
      <t>(5/08/2025 5:00:00 PM(UTC-05:00) Bogotá, Lima, Quito)</t>
    </r>
  </si>
  <si>
    <r>
      <t>23 días de tiempo transcurrido </t>
    </r>
    <r>
      <rPr>
        <i/>
        <sz val="10"/>
        <color rgb="FF808080"/>
        <rFont val="Arial"/>
        <family val="2"/>
      </rPr>
      <t>(5/08/2025 11:59:00 PM(UTC-05:00) Bogotá, Lima, Quito)</t>
    </r>
  </si>
  <si>
    <t>Fecha de publicación de los pliegos de condiciones definitivos</t>
  </si>
  <si>
    <r>
      <t>22 días de tiempo transcurrido </t>
    </r>
    <r>
      <rPr>
        <i/>
        <sz val="10"/>
        <color rgb="FF808080"/>
        <rFont val="Arial"/>
        <family val="2"/>
      </rPr>
      <t>(6/08/2025 8:34:55 PM(UTC-05:00) Bogotá, Lima, Quito)</t>
    </r>
  </si>
  <si>
    <r>
      <t>17 días de tiempo transcurrido </t>
    </r>
    <r>
      <rPr>
        <i/>
        <sz val="10"/>
        <color rgb="FF808080"/>
        <rFont val="Arial"/>
        <family val="2"/>
      </rPr>
      <t>(11/08/2025 5:00:00 PM(UTC-05:00) Bogotá, Lima, Quito)</t>
    </r>
  </si>
  <si>
    <r>
      <t>16 días de tiempo transcurrido </t>
    </r>
    <r>
      <rPr>
        <i/>
        <sz val="10"/>
        <color rgb="FF808080"/>
        <rFont val="Arial"/>
        <family val="2"/>
      </rPr>
      <t>(13/08/2025 9:00:00 AM(UTC-05:00) Bogotá, Lima, Quito)</t>
    </r>
  </si>
  <si>
    <r>
      <t>16 días de tiempo transcurrido </t>
    </r>
    <r>
      <rPr>
        <i/>
        <sz val="10"/>
        <color rgb="FF808080"/>
        <rFont val="Arial"/>
        <family val="2"/>
      </rPr>
      <t>(13/08/2025 9:01:00 AM(UTC-05:00) Bogotá, Lima, Quito)</t>
    </r>
  </si>
  <si>
    <r>
      <t>16 días de tiempo transcurrido </t>
    </r>
    <r>
      <rPr>
        <i/>
        <sz val="10"/>
        <color rgb="FF808080"/>
        <rFont val="Arial"/>
        <family val="2"/>
      </rPr>
      <t>(13/08/2025 9:03:00 AM(UTC-05:00) Bogotá, Lima, Quito)</t>
    </r>
  </si>
  <si>
    <r>
      <t>9 días de tiempo transcurrido </t>
    </r>
    <r>
      <rPr>
        <i/>
        <sz val="10"/>
        <color rgb="FF808080"/>
        <rFont val="Arial"/>
        <family val="2"/>
      </rPr>
      <t>(19/08/2025 11:59:00 PM(UTC-05:00) Bogotá, Lima, Quito)</t>
    </r>
  </si>
  <si>
    <r>
      <t>1 día de tiempo transcurrido </t>
    </r>
    <r>
      <rPr>
        <i/>
        <sz val="10"/>
        <color rgb="FF808080"/>
        <rFont val="Arial"/>
        <family val="2"/>
      </rPr>
      <t>(27/08/2025 5:00:00 PM(UTC-05:00) Bogotá, Lima, Quito)</t>
    </r>
  </si>
  <si>
    <t>Expedición del acto de adjudicación o de declaratoria desierta</t>
  </si>
  <si>
    <r>
      <t>4 días para terminar </t>
    </r>
    <r>
      <rPr>
        <i/>
        <sz val="10"/>
        <color rgb="FF808080"/>
        <rFont val="Arial"/>
        <family val="2"/>
      </rPr>
      <t>(2/09/2025 11:59:00 PM(UTC-05:00) Bogotá, Lima, Quito)</t>
    </r>
  </si>
  <si>
    <r>
      <t>5 días para terminar </t>
    </r>
    <r>
      <rPr>
        <i/>
        <sz val="10"/>
        <color rgb="FF808080"/>
        <rFont val="Arial"/>
        <family val="2"/>
      </rPr>
      <t>(3/09/2025 11:59:00 PM(UTC-05:00) Bogotá, Lima, Quito)</t>
    </r>
  </si>
  <si>
    <r>
      <t>10 días para terminar </t>
    </r>
    <r>
      <rPr>
        <i/>
        <sz val="10"/>
        <color rgb="FF808080"/>
        <rFont val="Arial"/>
        <family val="2"/>
      </rPr>
      <t>(8/09/2025 5:00:00 PM(UTC-05:00) Bogotá, Lima, Quito)</t>
    </r>
  </si>
  <si>
    <r>
      <t>11 días para terminar </t>
    </r>
    <r>
      <rPr>
        <i/>
        <sz val="10"/>
        <color rgb="FF808080"/>
        <rFont val="Arial"/>
        <family val="2"/>
      </rPr>
      <t>(9/09/2025 11:59:00 PM(UTC-05:00) Bogotá, Lima, Quito)</t>
    </r>
  </si>
  <si>
    <t>Expedición del acto de adjudicación o de declaratoria desierta	4 días para terminar (2/09/2025 11:59:00 PM(UTC-05:00) Bogotá, Lima, Quito)</t>
  </si>
  <si>
    <r>
      <t>15/07/2025 12:00:00 PM </t>
    </r>
    <r>
      <rPr>
        <i/>
        <sz val="10"/>
        <color rgb="FF808080"/>
        <rFont val="Arial"/>
        <family val="2"/>
      </rPr>
      <t>((UTC-05:00) Bogotá, Lima, Quito)</t>
    </r>
  </si>
  <si>
    <r>
      <t>15/07/2025 12:04:57 PM </t>
    </r>
    <r>
      <rPr>
        <i/>
        <sz val="10"/>
        <color rgb="FF808080"/>
        <rFont val="Arial"/>
        <family val="2"/>
      </rPr>
      <t>((UTC-05:00) Bogotá, Lima, Quito)</t>
    </r>
  </si>
  <si>
    <r>
      <t>17/07/2025 5:00:00 PM </t>
    </r>
    <r>
      <rPr>
        <i/>
        <sz val="10"/>
        <color rgb="FF808080"/>
        <rFont val="Arial"/>
        <family val="2"/>
      </rPr>
      <t>((UTC-05:00) Bogotá, Lima, Quito)</t>
    </r>
  </si>
  <si>
    <r>
      <t>18/07/2025 3:00:00 PM </t>
    </r>
    <r>
      <rPr>
        <i/>
        <sz val="10"/>
        <color rgb="FF808080"/>
        <rFont val="Arial"/>
        <family val="2"/>
      </rPr>
      <t>((UTC-05:00) Bogotá, Lima, Quito)</t>
    </r>
  </si>
  <si>
    <r>
      <t>22/07/2025 7:00:00 PM </t>
    </r>
    <r>
      <rPr>
        <i/>
        <sz val="10"/>
        <color rgb="FF808080"/>
        <rFont val="Arial"/>
        <family val="2"/>
      </rPr>
      <t>((UTC-05:00) Bogotá, Lima, Quito)</t>
    </r>
  </si>
  <si>
    <r>
      <t>23/07/2025 6:00:00 PM </t>
    </r>
    <r>
      <rPr>
        <i/>
        <sz val="10"/>
        <color rgb="FF808080"/>
        <rFont val="Arial"/>
        <family val="2"/>
      </rPr>
      <t>((UTC-05:00) Bogotá, Lima, Quito)</t>
    </r>
  </si>
  <si>
    <r>
      <t>23/07/2025 6:01:00 PM </t>
    </r>
    <r>
      <rPr>
        <i/>
        <sz val="10"/>
        <color rgb="FF808080"/>
        <rFont val="Arial"/>
        <family val="2"/>
      </rPr>
      <t>((UTC-05:00) Bogotá, Lima, Quito)</t>
    </r>
  </si>
  <si>
    <r>
      <t>23/07/2025 6:02:00 PM </t>
    </r>
    <r>
      <rPr>
        <i/>
        <sz val="10"/>
        <color rgb="FF808080"/>
        <rFont val="Arial"/>
        <family val="2"/>
      </rPr>
      <t>((UTC-05:00) Bogotá, Lima, Quito)</t>
    </r>
  </si>
  <si>
    <r>
      <t>30 días de tiempo transcurrido </t>
    </r>
    <r>
      <rPr>
        <i/>
        <sz val="10"/>
        <color rgb="FF808080"/>
        <rFont val="Arial"/>
        <family val="2"/>
      </rPr>
      <t>(30/07/2025 3:00:00 PM(UTC-05:00) Bogotá, Lima, Quito)</t>
    </r>
  </si>
  <si>
    <r>
      <t>25 días de tiempo transcurrido </t>
    </r>
    <r>
      <rPr>
        <i/>
        <sz val="10"/>
        <color rgb="FF808080"/>
        <rFont val="Arial"/>
        <family val="2"/>
      </rPr>
      <t>(4/08/2025 3:00:00 PM(UTC-05:00) Bogotá, Lima, Quito)</t>
    </r>
  </si>
  <si>
    <r>
      <t>24 días de tiempo transcurrido </t>
    </r>
    <r>
      <rPr>
        <i/>
        <sz val="10"/>
        <color rgb="FF808080"/>
        <rFont val="Arial"/>
        <family val="2"/>
      </rPr>
      <t>(5/08/2025 3:00:00 PM(UTC-05:00) Bogotá, Lima, Quito)</t>
    </r>
  </si>
  <si>
    <r>
      <t>23 días de tiempo transcurrido </t>
    </r>
    <r>
      <rPr>
        <i/>
        <sz val="10"/>
        <color rgb="FF808080"/>
        <rFont val="Arial"/>
        <family val="2"/>
      </rPr>
      <t>(6/08/2025 3:00:00 PM(UTC-05:00) Bogotá, Lima, Quito)</t>
    </r>
  </si>
  <si>
    <r>
      <t>22 días de tiempo transcurrido </t>
    </r>
    <r>
      <rPr>
        <i/>
        <sz val="10"/>
        <color rgb="FF808080"/>
        <rFont val="Arial"/>
        <family val="2"/>
      </rPr>
      <t>(7/08/2025 3:00:00 PM(UTC-05:00) Bogotá, Lima, Quito)</t>
    </r>
  </si>
  <si>
    <t xml:space="preserve">No se evidencia contrato en la plataforma </t>
  </si>
  <si>
    <t>https://www.secop.gov.co/CO1BusinessLine/Tendering/ContractNoticeView/Index?Notice=CO1.NTC.8464265</t>
  </si>
  <si>
    <t>https://www.secop.gov.co/CO1BusinessLine/Tendering/ContractNoticeView/Index?Notice=CO1.NTC.8578046</t>
  </si>
  <si>
    <r>
      <t>20 días de tiempo transcurrido </t>
    </r>
    <r>
      <rPr>
        <i/>
        <sz val="10"/>
        <color rgb="FF808080"/>
        <rFont val="Arial"/>
        <family val="2"/>
      </rPr>
      <t>(8/08/2025 9:00:00 PM(UTC-05:00) Bogotá, Lima, Quito)</t>
    </r>
  </si>
  <si>
    <r>
      <t>20 días de tiempo transcurrido </t>
    </r>
    <r>
      <rPr>
        <i/>
        <sz val="10"/>
        <color rgb="FF808080"/>
        <rFont val="Arial"/>
        <family val="2"/>
      </rPr>
      <t>(8/08/2025 8:14:09 PM(UTC-05:00) Bogotá, Lima, Quito)</t>
    </r>
  </si>
  <si>
    <r>
      <t>16 días de tiempo transcurrido </t>
    </r>
    <r>
      <rPr>
        <i/>
        <sz val="10"/>
        <color rgb="FF808080"/>
        <rFont val="Arial"/>
        <family val="2"/>
      </rPr>
      <t>(13/08/2025 3:00:00 PM(UTC-05:00) Bogotá, Lima, Quito)</t>
    </r>
  </si>
  <si>
    <r>
      <t>15 días de tiempo transcurrido </t>
    </r>
    <r>
      <rPr>
        <i/>
        <sz val="10"/>
        <color rgb="FF808080"/>
        <rFont val="Arial"/>
        <family val="2"/>
      </rPr>
      <t>(13/08/2025 4:00:00 PM(UTC-05:00) Bogotá, Lima, Quito)</t>
    </r>
  </si>
  <si>
    <r>
      <t>15 días de tiempo transcurrido </t>
    </r>
    <r>
      <rPr>
        <i/>
        <sz val="10"/>
        <color rgb="FF808080"/>
        <rFont val="Arial"/>
        <family val="2"/>
      </rPr>
      <t>(13/08/2025 5:30:00 PM(UTC-05:00) Bogotá, Lima, Quito)</t>
    </r>
  </si>
  <si>
    <r>
      <t>15 días de tiempo transcurrido </t>
    </r>
    <r>
      <rPr>
        <i/>
        <sz val="10"/>
        <color rgb="FF808080"/>
        <rFont val="Arial"/>
        <family val="2"/>
      </rPr>
      <t>(13/08/2025 5:40:00 PM(UTC-05:00) Bogotá, Lima, Quito)</t>
    </r>
  </si>
  <si>
    <r>
      <t>9 días de tiempo transcurrido </t>
    </r>
    <r>
      <rPr>
        <i/>
        <sz val="10"/>
        <color rgb="FF808080"/>
        <rFont val="Arial"/>
        <family val="2"/>
      </rPr>
      <t>(20/08/2025 8:01:00 AM(UTC-05:00) Bogotá, Lima, Quito)</t>
    </r>
  </si>
  <si>
    <r>
      <t>8 días de tiempo transcurrido </t>
    </r>
    <r>
      <rPr>
        <i/>
        <sz val="10"/>
        <color rgb="FF808080"/>
        <rFont val="Arial"/>
        <family val="2"/>
      </rPr>
      <t>(20/08/2025 5:00:00 PM(UTC-05:00) Bogotá, Lima, Quito)</t>
    </r>
  </si>
  <si>
    <r>
      <t>7 días de tiempo transcurrido </t>
    </r>
    <r>
      <rPr>
        <i/>
        <sz val="10"/>
        <color rgb="FF808080"/>
        <rFont val="Arial"/>
        <family val="2"/>
      </rPr>
      <t>(21/08/2025 8:00:00 PM(UTC-05:00) Bogotá, Lima, Quito)</t>
    </r>
  </si>
  <si>
    <r>
      <t>22 horas de tiempo transcurrido </t>
    </r>
    <r>
      <rPr>
        <i/>
        <sz val="10"/>
        <color rgb="FF808080"/>
        <rFont val="Arial"/>
        <family val="2"/>
      </rPr>
      <t>(28/08/2025 5:00:00 PM(UTC-05:00) Bogotá, Lima, Quito)</t>
    </r>
  </si>
  <si>
    <r>
      <t>2 días para terminar </t>
    </r>
    <r>
      <rPr>
        <i/>
        <sz val="10"/>
        <color rgb="FF808080"/>
        <rFont val="Arial"/>
        <family val="2"/>
      </rPr>
      <t>(1/09/2025 2:00:00 AM(UTC-05:00) Bogotá, Lima, Quito)</t>
    </r>
  </si>
  <si>
    <r>
      <t>2 días para terminar </t>
    </r>
    <r>
      <rPr>
        <i/>
        <sz val="10"/>
        <color rgb="FF808080"/>
        <rFont val="Arial"/>
        <family val="2"/>
      </rPr>
      <t>(1/09/2025 3:00:00 AM(UTC-05:00) Bogotá, Lima, Quito)</t>
    </r>
  </si>
  <si>
    <t>Se adendo cronograma de Audiencia de Adjudicación y apertura sobre económico ha cambiado desde '29/08/2025 2:00:00 PM ((UTC-05:00) Bogotá, Lima, Quito)' hasta '1/09/2025 2:00:00 AM ((UTC-05:00) Bogotá, Lima, Quito)'</t>
  </si>
  <si>
    <t>9 (Months)</t>
  </si>
  <si>
    <t>https://www.secop.gov.co/CO1BusinessLine/Tendering/ContractNoticeView/Index?Notice=CO1.NTC.8617820</t>
  </si>
  <si>
    <r>
      <t>28 días de tiempo transcurrido </t>
    </r>
    <r>
      <rPr>
        <i/>
        <sz val="10"/>
        <color rgb="FF808080"/>
        <rFont val="Arial"/>
        <family val="2"/>
      </rPr>
      <t>(31/07/2025 10:00:00 PM(UTC-05:00) Bogotá, Lima, Quito)</t>
    </r>
  </si>
  <si>
    <r>
      <t>28 días de tiempo transcurrido </t>
    </r>
    <r>
      <rPr>
        <i/>
        <sz val="10"/>
        <color rgb="FF808080"/>
        <rFont val="Arial"/>
        <family val="2"/>
      </rPr>
      <t>(31/07/2025 8:48:19 PM(UTC-05:00) Bogotá, Lima, Quito)</t>
    </r>
  </si>
  <si>
    <r>
      <t>14 días de tiempo transcurrido </t>
    </r>
    <r>
      <rPr>
        <i/>
        <sz val="10"/>
        <color rgb="FF808080"/>
        <rFont val="Arial"/>
        <family val="2"/>
      </rPr>
      <t>(14/08/2025 5:00:00 PM(UTC-05:00) Bogotá, Lima, Quito)</t>
    </r>
  </si>
  <si>
    <r>
      <t>14 días de tiempo transcurrido </t>
    </r>
    <r>
      <rPr>
        <i/>
        <sz val="10"/>
        <color rgb="FF808080"/>
        <rFont val="Arial"/>
        <family val="2"/>
      </rPr>
      <t>(15/08/2025 12:00:00 PM(UTC-05:00) Bogotá, Lima, Quito)</t>
    </r>
  </si>
  <si>
    <r>
      <t>13 días de tiempo transcurrido </t>
    </r>
    <r>
      <rPr>
        <i/>
        <sz val="10"/>
        <color rgb="FF808080"/>
        <rFont val="Arial"/>
        <family val="2"/>
      </rPr>
      <t>(15/08/2025 11:00:00 PM(UTC-05:00) Bogotá, Lima, Quito)</t>
    </r>
  </si>
  <si>
    <r>
      <t>13 días de tiempo transcurrido </t>
    </r>
    <r>
      <rPr>
        <i/>
        <sz val="10"/>
        <color rgb="FF808080"/>
        <rFont val="Arial"/>
        <family val="2"/>
      </rPr>
      <t>(15/08/2025 9:37:33 PM(UTC-05:00) Bogotá, Lima, Quito)</t>
    </r>
  </si>
  <si>
    <r>
      <t>10 días de tiempo transcurrido </t>
    </r>
    <r>
      <rPr>
        <i/>
        <sz val="10"/>
        <color rgb="FF808080"/>
        <rFont val="Arial"/>
        <family val="2"/>
      </rPr>
      <t>(19/08/2025 2:00:00 PM(UTC-05:00) Bogotá, Lima, Quito)</t>
    </r>
  </si>
  <si>
    <r>
      <t>10 días de tiempo transcurrido </t>
    </r>
    <r>
      <rPr>
        <i/>
        <sz val="10"/>
        <color rgb="FF808080"/>
        <rFont val="Arial"/>
        <family val="2"/>
      </rPr>
      <t>(19/08/2025 3:00:00 PM(UTC-05:00) Bogotá, Lima, Quito)</t>
    </r>
  </si>
  <si>
    <r>
      <t>10 días de tiempo transcurrido </t>
    </r>
    <r>
      <rPr>
        <i/>
        <sz val="10"/>
        <color rgb="FF808080"/>
        <rFont val="Arial"/>
        <family val="2"/>
      </rPr>
      <t>(19/08/2025 4:00:00 AM(UTC-05:00) Bogotá, Lima, Quito)</t>
    </r>
  </si>
  <si>
    <r>
      <t>4 días de tiempo transcurrido </t>
    </r>
    <r>
      <rPr>
        <i/>
        <sz val="10"/>
        <color rgb="FF808080"/>
        <rFont val="Arial"/>
        <family val="2"/>
      </rPr>
      <t>(25/08/2025 10:00:00 AM(UTC-05:00) Bogotá, Lima, Quito)</t>
    </r>
  </si>
  <si>
    <r>
      <t>6 horas de tiempo transcurrido </t>
    </r>
    <r>
      <rPr>
        <i/>
        <sz val="10"/>
        <color rgb="FF808080"/>
        <rFont val="Arial"/>
        <family val="2"/>
      </rPr>
      <t>(29/08/2025 10:00:00 AM(UTC-05:00) Bogotá, Lima, Quito)</t>
    </r>
  </si>
  <si>
    <r>
      <t>1 hora de tiempo transcurrido </t>
    </r>
    <r>
      <rPr>
        <i/>
        <sz val="10"/>
        <color rgb="FF808080"/>
        <rFont val="Arial"/>
        <family val="2"/>
      </rPr>
      <t>(29/08/2025 3:01:00 PM(UTC-05:00) Bogotá, Lima, Quito)</t>
    </r>
  </si>
  <si>
    <r>
      <t>26 minutos de tiempo transcurrido </t>
    </r>
    <r>
      <rPr>
        <i/>
        <sz val="10"/>
        <color rgb="FF808080"/>
        <rFont val="Arial"/>
        <family val="2"/>
      </rPr>
      <t>(29/08/2025 4:00:00 PM(UTC-05:00) Bogotá, Lima, Quito)</t>
    </r>
  </si>
  <si>
    <r>
      <t>2 días para terminar </t>
    </r>
    <r>
      <rPr>
        <i/>
        <sz val="10"/>
        <color rgb="FF808080"/>
        <rFont val="Arial"/>
        <family val="2"/>
      </rPr>
      <t>(1/09/2025 12:00:00 PM(UTC-05:00) Bogotá, Lima, Quito)</t>
    </r>
  </si>
  <si>
    <r>
      <t>9 días para terminar </t>
    </r>
    <r>
      <rPr>
        <i/>
        <sz val="10"/>
        <color rgb="FF808080"/>
        <rFont val="Arial"/>
        <family val="2"/>
      </rPr>
      <t>(8/09/2025 4:00:00 PM(UTC-05:00) Bogotá, Lima, Quito)</t>
    </r>
  </si>
  <si>
    <r>
      <t>11 días para terminar </t>
    </r>
    <r>
      <rPr>
        <i/>
        <sz val="10"/>
        <color rgb="FF808080"/>
        <rFont val="Arial"/>
        <family val="2"/>
      </rPr>
      <t>(10/09/2025 3:00:00 PM(UTC-05:00) Bogotá, Lima, Quito)</t>
    </r>
  </si>
  <si>
    <r>
      <t>16 días para terminar </t>
    </r>
    <r>
      <rPr>
        <i/>
        <sz val="10"/>
        <color rgb="FF808080"/>
        <rFont val="Arial"/>
        <family val="2"/>
      </rPr>
      <t>(15/09/2025 12:00:00 PM(UTC-05:00) Bogotá, Lima, Quito)</t>
    </r>
  </si>
  <si>
    <r>
      <t>16 días para terminar </t>
    </r>
    <r>
      <rPr>
        <i/>
        <sz val="10"/>
        <color rgb="FF808080"/>
        <rFont val="Arial"/>
        <family val="2"/>
      </rPr>
      <t>(15/09/2025 4:00:00 PM(UTC-05:00) Bogotá, Lima, Quito)</t>
    </r>
  </si>
  <si>
    <r>
      <t>14/10/2025 12:00:00 PM </t>
    </r>
    <r>
      <rPr>
        <i/>
        <sz val="10"/>
        <color rgb="FF808080"/>
        <rFont val="Arial"/>
        <family val="2"/>
      </rPr>
      <t>((UTC-05:00) Bogotá, Lima, Quito)</t>
    </r>
  </si>
  <si>
    <t xml:space="preserve">Publicación del informe de verificación o evaluación	2 días para terminar (1/09/2025 12:00:00 PM(UTC-05:00) Bogotá, Lima, Quito)		</t>
  </si>
  <si>
    <t>https://www.secop.gov.co/CO1BusinessLine/Tendering/ContractNoticeView/Index?Notice=CO1.NTC.8657537</t>
  </si>
  <si>
    <t>Plazo máximo para expedir adendas	2 horas para terminar (29/08/2025 7:00:00 PM(UTC-05:00) Bogotá, Lima, Quito)	 
Presentación de Ofertas	6 días para terminar (4/09/2025 5:00:00 PM(UTC-05:00) Bogotá, Lima, Quito)</t>
  </si>
  <si>
    <r>
      <t>24 días de tiempo transcurrido </t>
    </r>
    <r>
      <rPr>
        <i/>
        <sz val="10"/>
        <color rgb="FF808080"/>
        <rFont val="Arial"/>
        <family val="2"/>
      </rPr>
      <t>(4/08/2025 7:35:12 PM(UTC-05:00) Bogotá, Lima, Quito)</t>
    </r>
  </si>
  <si>
    <r>
      <t>3 días de tiempo transcurrido </t>
    </r>
    <r>
      <rPr>
        <i/>
        <sz val="10"/>
        <color rgb="FF808080"/>
        <rFont val="Arial"/>
        <family val="2"/>
      </rPr>
      <t>(25/08/2025 5:46:22 PM(UTC-05:00) Bogotá, Lima, Quito)</t>
    </r>
  </si>
  <si>
    <r>
      <t>3 días de tiempo transcurrido </t>
    </r>
    <r>
      <rPr>
        <i/>
        <sz val="10"/>
        <color rgb="FF808080"/>
        <rFont val="Arial"/>
        <family val="2"/>
      </rPr>
      <t>(26/08/2025 2:00:00 PM(UTC-05:00) Bogotá, Lima, Quito)</t>
    </r>
  </si>
  <si>
    <r>
      <t>16 horas de tiempo transcurrido </t>
    </r>
    <r>
      <rPr>
        <i/>
        <sz val="10"/>
        <color rgb="FF808080"/>
        <rFont val="Arial"/>
        <family val="2"/>
      </rPr>
      <t>(28/08/2025 11:59:00 PM(UTC-05:00) Bogotá, Lima, Quito)</t>
    </r>
  </si>
  <si>
    <r>
      <t>2 horas para terminar </t>
    </r>
    <r>
      <rPr>
        <i/>
        <sz val="10"/>
        <color rgb="FF808080"/>
        <rFont val="Arial"/>
        <family val="2"/>
      </rPr>
      <t>(29/08/2025 7:00:00 PM(UTC-05:00) Bogotá, Lima, Quito)</t>
    </r>
  </si>
  <si>
    <r>
      <t>6 días para terminar </t>
    </r>
    <r>
      <rPr>
        <i/>
        <sz val="10"/>
        <color rgb="FF808080"/>
        <rFont val="Arial"/>
        <family val="2"/>
      </rPr>
      <t>(4/09/2025 5:01:00 PM(UTC-05:00) Bogotá, Lima, Quito)</t>
    </r>
  </si>
  <si>
    <r>
      <t>6 días para terminar </t>
    </r>
    <r>
      <rPr>
        <i/>
        <sz val="10"/>
        <color rgb="FF808080"/>
        <rFont val="Arial"/>
        <family val="2"/>
      </rPr>
      <t>(4/09/2025 5:30:00 PM(UTC-05:00) Bogotá, Lima, Quito)</t>
    </r>
  </si>
  <si>
    <r>
      <t>12 días para terminar </t>
    </r>
    <r>
      <rPr>
        <i/>
        <sz val="10"/>
        <color rgb="FF808080"/>
        <rFont val="Arial"/>
        <family val="2"/>
      </rPr>
      <t>(10/09/2025 11:59:00 PM(UTC-05:00) Bogotá, Lima, Quito)</t>
    </r>
  </si>
  <si>
    <r>
      <t>19 días para terminar </t>
    </r>
    <r>
      <rPr>
        <i/>
        <sz val="10"/>
        <color rgb="FF808080"/>
        <rFont val="Arial"/>
        <family val="2"/>
      </rPr>
      <t>(17/09/2025 5:00:00 PM(UTC-05:00) Bogotá, Lima, Quito)</t>
    </r>
  </si>
  <si>
    <r>
      <t>24 días para terminar </t>
    </r>
    <r>
      <rPr>
        <i/>
        <sz val="10"/>
        <color rgb="FF808080"/>
        <rFont val="Arial"/>
        <family val="2"/>
      </rPr>
      <t>(23/09/2025 9:00:00 AM(UTC-05:00) Bogotá, Lima, Quito)</t>
    </r>
  </si>
  <si>
    <r>
      <t>25 días para terminar </t>
    </r>
    <r>
      <rPr>
        <i/>
        <sz val="10"/>
        <color rgb="FF808080"/>
        <rFont val="Arial"/>
        <family val="2"/>
      </rPr>
      <t>(23/09/2025 11:59:00 PM(UTC-05:00) Bogotá, Lima, Quito)</t>
    </r>
  </si>
  <si>
    <r>
      <t>26 días para terminar </t>
    </r>
    <r>
      <rPr>
        <i/>
        <sz val="10"/>
        <color rgb="FF808080"/>
        <rFont val="Arial"/>
        <family val="2"/>
      </rPr>
      <t>(24/09/2025 11:59:00 PM(UTC-05:00) Bogotá, Lima, Quito)</t>
    </r>
  </si>
  <si>
    <r>
      <t>27 días para terminar </t>
    </r>
    <r>
      <rPr>
        <i/>
        <sz val="10"/>
        <color rgb="FF808080"/>
        <rFont val="Arial"/>
        <family val="2"/>
      </rPr>
      <t>(25/09/2025 5:00:00 PM(UTC-05:00) Bogotá, Lima, Quito)</t>
    </r>
  </si>
  <si>
    <t>Link</t>
  </si>
  <si>
    <t>ESTADO PUBLICACION</t>
  </si>
  <si>
    <t>Contrato 02: Interventoria Infraestructura y Seguridad, Conectividad a plataformas en nubes</t>
  </si>
  <si>
    <t>https://www.secop.gov.co/CO1BusinessLine/Tendering/ContractNoticeView/Index?prevCtxLbl=Buscar+procesos&amp;prevCtxUrl=https%3a%2f%2fwww.secop.gov.co%3a443%2fCO1BusinessLine%2fTendering%2fContractNoticeManagement%2fIndex&amp;notice=CO1.NTC.8654942</t>
  </si>
  <si>
    <t>Publicado</t>
  </si>
  <si>
    <t>Contrato 08: Servicio de virtualización del DRP para los sistemas de información transversales de la Alcaldía de Santiago de Cali en Nube</t>
  </si>
  <si>
    <t>https://www.secop.gov.co/CO1BusinessLine/Tendering/ContractNoticeView/Index?prevCtxLbl=Buscar+procesos&amp;prevCtxUrl=https%3a%2f%2fwww.secop.gov.co%3a443%2fCO1BusinessLine%2fTendering%2fContractNoticeManagement%2fIndex&amp;notice=CO1.NTC.8686874</t>
  </si>
  <si>
    <t>Contrato 09: Desarrollo de Ecosistema de Aplicaciones (web y móvil) Distrito de Cali</t>
  </si>
  <si>
    <t>https://www.secop.gov.co/CO1BusinessLine/Tendering/ContractNoticeView/Index?prevCtxLbl=Buscar+procesos&amp;prevCtxUrl=https%3a%2f%2fwww.secop.gov.co%3a443%2fCO1BusinessLine%2fTendering%2fContractNoticeManagement%2fIndex&amp;notice=CO1.NTC.8654941</t>
  </si>
  <si>
    <t>Contrato 17: Automatización de Procesos y racionalización de trámites</t>
  </si>
  <si>
    <t>selección Directa</t>
  </si>
  <si>
    <t>https://www.secop.gov.co/CO1BusinessLine/Tendering/ContractNoticeView/Index?prevCtxLbl=Buscar+procesos&amp;prevCtxUrl=https%3a%2f%2fwww.secop.gov.co%3a443%2fCO1BusinessLine%2fTendering%2fContractNoticeManagement%2fIndex&amp;notice=CO1.NTC.8687392</t>
  </si>
  <si>
    <t>DAVIVIENDA</t>
  </si>
  <si>
    <t>Contrato 19:  Interventoria Ciudad Inteligente</t>
  </si>
  <si>
    <t>Contrato 1: Obra</t>
  </si>
  <si>
    <t>Contrato 2: OBRA</t>
  </si>
  <si>
    <t>Contrato 3: INTERVENTORIA</t>
  </si>
  <si>
    <t>https://www.secop.gov.co/CO1BusinessLine/Tendering/ContractNoticeView/Index?prevCtxLbl=Buscar+procesos&amp;prevCtxUrl=https%3a%2f%2fwww.secop.gov.co%3a443%2fCO1BusinessLine%2fTendering%2fContractNoticeManagement%2fIndex&amp;notice=CO1.NTC.8610346</t>
  </si>
  <si>
    <t>Contrato 1: Mixto</t>
  </si>
  <si>
    <t>licitacion</t>
  </si>
  <si>
    <t>Contrato 4: Interventoría Mixto</t>
  </si>
  <si>
    <t>concurso meritos abiertos</t>
  </si>
  <si>
    <t>https://www.secop.gov.co/CO1BusinessLine/Tendering/ContractNoticeView/Index?prevCtxLbl=Buscar+procesos&amp;prevCtxUrl=https%3a%2f%2fwww.secop.gov.co%3a443%2fCO1BusinessLine%2fTendering%2fContractNoticeManagement%2fIndex&amp;notice=CO1.NTC.8627833</t>
  </si>
  <si>
    <t>Pago de Subsidios</t>
  </si>
  <si>
    <t xml:space="preserve">Contrato 6 Contrato Subsidios de Mejoramiento de Vivienda </t>
  </si>
  <si>
    <r>
      <t>31/07/2025 6:00:00 PM </t>
    </r>
    <r>
      <rPr>
        <i/>
        <sz val="10"/>
        <color rgb="FF808080"/>
        <rFont val="Arial"/>
        <family val="2"/>
      </rPr>
      <t>((UTC-05:00) Bogotá, Lima, Quito)</t>
    </r>
  </si>
  <si>
    <r>
      <t>31/07/2025 6:25:59 PM </t>
    </r>
    <r>
      <rPr>
        <i/>
        <sz val="10"/>
        <color rgb="FF808080"/>
        <rFont val="Arial"/>
        <family val="2"/>
      </rPr>
      <t>((UTC-05:00) Bogotá, Lima, Quito)</t>
    </r>
  </si>
  <si>
    <r>
      <t>28 días de tiempo transcurrido </t>
    </r>
    <r>
      <rPr>
        <i/>
        <sz val="10"/>
        <color rgb="FF808080"/>
        <rFont val="Arial"/>
        <family val="2"/>
      </rPr>
      <t>(4/08/2025 5:00:00 PM(UTC-05:00) Bogotá, Lima, Quito)</t>
    </r>
  </si>
  <si>
    <r>
      <t>27 días de tiempo transcurrido </t>
    </r>
    <r>
      <rPr>
        <i/>
        <sz val="10"/>
        <color rgb="FF808080"/>
        <rFont val="Arial"/>
        <family val="2"/>
      </rPr>
      <t>(5/08/2025 3:00:00 PM(UTC-05:00) Bogotá, Lima, Quito)</t>
    </r>
  </si>
  <si>
    <r>
      <t>24 días de tiempo transcurrido </t>
    </r>
    <r>
      <rPr>
        <i/>
        <sz val="10"/>
        <color rgb="FF808080"/>
        <rFont val="Arial"/>
        <family val="2"/>
      </rPr>
      <t>(8/08/2025 3:00:00 PM(UTC-05:00) Bogotá, Lima, Quito)</t>
    </r>
  </si>
  <si>
    <r>
      <t>21 días de tiempo transcurrido </t>
    </r>
    <r>
      <rPr>
        <i/>
        <sz val="10"/>
        <color rgb="FF808080"/>
        <rFont val="Arial"/>
        <family val="2"/>
      </rPr>
      <t>(11/08/2025 3:00:00 PM(UTC-05:00) Bogotá, Lima, Quito)</t>
    </r>
  </si>
  <si>
    <r>
      <t>18 días de tiempo transcurrido </t>
    </r>
    <r>
      <rPr>
        <i/>
        <sz val="10"/>
        <color rgb="FF808080"/>
        <rFont val="Arial"/>
        <family val="2"/>
      </rPr>
      <t>(15/08/2025 7:00:00 AM(UTC-05:00) Bogotá, Lima, Quito)</t>
    </r>
  </si>
  <si>
    <r>
      <t>18 días de tiempo transcurrido </t>
    </r>
    <r>
      <rPr>
        <i/>
        <sz val="10"/>
        <color rgb="FF808080"/>
        <rFont val="Arial"/>
        <family val="2"/>
      </rPr>
      <t>(15/08/2025 9:00:00 AM(UTC-05:00) Bogotá, Lima, Quito)</t>
    </r>
  </si>
  <si>
    <r>
      <t>16 horas de tiempo transcurrido </t>
    </r>
    <r>
      <rPr>
        <i/>
        <sz val="10"/>
        <color rgb="FF808080"/>
        <rFont val="Arial"/>
        <family val="2"/>
      </rPr>
      <t>(1/09/2025 5:00:00 PM(UTC-05:00) Bogotá, Lima, Quito)</t>
    </r>
  </si>
  <si>
    <r>
      <t>6 días para terminar </t>
    </r>
    <r>
      <rPr>
        <i/>
        <sz val="10"/>
        <color rgb="FF808080"/>
        <rFont val="Arial"/>
        <family val="2"/>
      </rPr>
      <t>(8/09/2025 5:00:00 PM(UTC-05:00) Bogotá, Lima, Quito)</t>
    </r>
  </si>
  <si>
    <r>
      <t>8 días para terminar </t>
    </r>
    <r>
      <rPr>
        <i/>
        <sz val="10"/>
        <color rgb="FF808080"/>
        <rFont val="Arial"/>
        <family val="2"/>
      </rPr>
      <t>(11/09/2025 9:00:00 AM(UTC-05:00) Bogotá, Lima, Quito)</t>
    </r>
  </si>
  <si>
    <r>
      <t>10 días para terminar </t>
    </r>
    <r>
      <rPr>
        <i/>
        <sz val="10"/>
        <color rgb="FF808080"/>
        <rFont val="Arial"/>
        <family val="2"/>
      </rPr>
      <t>(12/09/2025 5:00:00 PM(UTC-05:00) Bogotá, Lima, Quito)</t>
    </r>
  </si>
  <si>
    <r>
      <t>13 días para terminar </t>
    </r>
    <r>
      <rPr>
        <i/>
        <sz val="10"/>
        <color rgb="FF808080"/>
        <rFont val="Arial"/>
        <family val="2"/>
      </rPr>
      <t>(15/09/2025 5:00:00 PM(UTC-05:00) Bogotá, Lima, Quito)</t>
    </r>
  </si>
  <si>
    <r>
      <t>14 días para terminar </t>
    </r>
    <r>
      <rPr>
        <i/>
        <sz val="10"/>
        <color rgb="FF808080"/>
        <rFont val="Arial"/>
        <family val="2"/>
      </rPr>
      <t>(16/09/2025 5:00:00 PM(UTC-05:00) Bogotá, Lima, Quito)</t>
    </r>
  </si>
  <si>
    <t xml:space="preserve">Se modificado cronograma en plataforma SECOP tres veces </t>
  </si>
  <si>
    <t>Modoficado (29/08/2025 3:40:06 PM(UTC-05:00) Bogotá, Lima, Quito)</t>
  </si>
  <si>
    <t>Se modificado cronograma en plataforma SECOP tres veces, segun cronograma actual se tenia proyectado publicar informe de evaluacion preliminar (1/09/2025 , no se publico, nuevamenete incumplen cronograma.</t>
  </si>
  <si>
    <t>Segun cronograma de platafroma el proceso (25/08/2025 9:48:20 AM(UTC-05:00) Bogotá, Lima, Quito), se informa en platafroma que se adendara la publicacion del informe prelimirar. No se evidencia publicacion. Se debe sanear . Segun cronograma actual se tenia proyectado publicar informe de evaluacion preliminar (1/09/2025 , no se publico, nuevamenete incumplen cronograma.</t>
  </si>
  <si>
    <t>Publicación del informe de evaluación de las Ofertas	1 día de tiempo transcurrido (20/08/2025 5:00:00 PM(UTC-05:00) Bogotá, Lima, Quito. No se evidencia Apertura del proceso (pliegos definitivos . Anexos , matrices, formularios, respuestas oibservaciones. A corte 2 sep se manteniene igual . no se apertura aun)</t>
  </si>
  <si>
    <r>
      <t>30/07/2025 7:00:00 PM </t>
    </r>
    <r>
      <rPr>
        <i/>
        <sz val="10"/>
        <color rgb="FF808080"/>
        <rFont val="Arial"/>
        <family val="2"/>
      </rPr>
      <t>((UTC-05:00) Bogotá, Lima, Quito)</t>
    </r>
  </si>
  <si>
    <r>
      <t>28 días de tiempo transcurrido </t>
    </r>
    <r>
      <rPr>
        <i/>
        <sz val="10"/>
        <color rgb="FF808080"/>
        <rFont val="Arial"/>
        <family val="2"/>
      </rPr>
      <t>(5/08/2025 9:00:00 AM(UTC-05:00) Bogotá, Lima, Quito)</t>
    </r>
  </si>
  <si>
    <r>
      <t>28 días de tiempo transcurrido </t>
    </r>
    <r>
      <rPr>
        <i/>
        <sz val="10"/>
        <color rgb="FF808080"/>
        <rFont val="Arial"/>
        <family val="2"/>
      </rPr>
      <t>(5/08/2025 9:01:00 AM(UTC-05:00) Bogotá, Lima, Quito)</t>
    </r>
  </si>
  <si>
    <r>
      <t>27 días de tiempo transcurrido </t>
    </r>
    <r>
      <rPr>
        <i/>
        <sz val="10"/>
        <color rgb="FF808080"/>
        <rFont val="Arial"/>
        <family val="2"/>
      </rPr>
      <t>(5/08/2025 11:59:00 AM(UTC-05:00) Bogotá, Lima, Quito)</t>
    </r>
  </si>
  <si>
    <r>
      <t>20 días de tiempo transcurrido </t>
    </r>
    <r>
      <rPr>
        <i/>
        <sz val="10"/>
        <color rgb="FF808080"/>
        <rFont val="Arial"/>
        <family val="2"/>
      </rPr>
      <t>(12/08/2025 11:59:00 PM(UTC-05:00) Bogotá, Lima, Quito)</t>
    </r>
  </si>
  <si>
    <r>
      <t>12 días de tiempo transcurrido </t>
    </r>
    <r>
      <rPr>
        <i/>
        <sz val="10"/>
        <color rgb="FF808080"/>
        <rFont val="Arial"/>
        <family val="2"/>
      </rPr>
      <t>(20/08/2025 5:00:00 PM(UTC-05:00) Bogotá, Lima, Quito)</t>
    </r>
  </si>
  <si>
    <r>
      <t>7 días de tiempo transcurrido </t>
    </r>
    <r>
      <rPr>
        <i/>
        <sz val="10"/>
        <color rgb="FF808080"/>
        <rFont val="Arial"/>
        <family val="2"/>
      </rPr>
      <t>(26/08/2025 9:00:00 AM(UTC-05:00) Bogotá, Lima, Quito)</t>
    </r>
  </si>
  <si>
    <r>
      <t>1 día para terminar </t>
    </r>
    <r>
      <rPr>
        <i/>
        <sz val="10"/>
        <color rgb="FF808080"/>
        <rFont val="Arial"/>
        <family val="2"/>
      </rPr>
      <t>(3/09/2025 11:59:00 PM(UTC-05:00) Bogotá, Lima, Quito)</t>
    </r>
  </si>
  <si>
    <r>
      <t>6 días para terminar </t>
    </r>
    <r>
      <rPr>
        <i/>
        <sz val="10"/>
        <color rgb="FF808080"/>
        <rFont val="Arial"/>
        <family val="2"/>
      </rPr>
      <t>(8/09/2025 11:59:00 PM(UTC-05:00) Bogotá, Lima, Quito)</t>
    </r>
  </si>
  <si>
    <r>
      <t>10 días para terminar </t>
    </r>
    <r>
      <rPr>
        <i/>
        <sz val="10"/>
        <color rgb="FF808080"/>
        <rFont val="Arial"/>
        <family val="2"/>
      </rPr>
      <t>(12/09/2025 12:00:00 PM(UTC-05:00) Bogotá, Lima, Quito)</t>
    </r>
  </si>
  <si>
    <t>Se modifica cronograma</t>
  </si>
  <si>
    <t xml:space="preserve">Se modificado cronograma en plataforma SECOP </t>
  </si>
  <si>
    <t>Audiencia termino ? Se suspendio ? Se dio lectura del acto resolutivo ?</t>
  </si>
  <si>
    <t>Audiencia de Adjudicación y apertura sobre económico (26/08/2025 12:00 m  . Audiencia termino ? Se suspendio ? Se dio lectura del acto resolutivo ? Que se adendo ?</t>
  </si>
  <si>
    <t xml:space="preserve">A corte 2 de septiembre se mantiene en el mismo estado el proceso </t>
  </si>
  <si>
    <t xml:space="preserve">Audiencia de Adjudicación y apertura sobre económico	1 día de tiempo transcurrido (27/08/2025 12:00:00 PM(UTC-05:00) Bogotá, Lima, Quito)	 
Publicación Acto Administrativo de adjudicación o de Declaratoria de Desierto	8 horas para terminar (29/08/2025 7:00:00 PM(UTC-05:00) Bogotá, Lima, Quito). No se evidencia Apertura del proceso. A corte 2 de septiembre se mantiene en el mismo estado el proceso </t>
  </si>
  <si>
    <t>No se evidencia Publicación del informe de evaluación de las Ofertas	Proyectado publicar(1/09/2025 7:00:00 PM(UTC-05:00) Bogotá, Lima, Quito)</t>
  </si>
  <si>
    <t>Por que no se publica informe preliminar, no  se evidencia en plataformaa</t>
  </si>
  <si>
    <t xml:space="preserve">Entrega de las garantías de ejecución del contrato	5 horas para terminar (29/08/2025 5:00:00 PM(UTC-05:00) Bogotá, Lima, Quito)		Revisar por que se publican 5 infromes de evalaucion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</si>
</sst>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quot;$&quot;* #,##0_-;_-&quot;$&quot;* &quot;-&quot;_-;_-@_-"/>
    <numFmt numFmtId="164" formatCode="&quot;$&quot;\ #,##0"/>
    <numFmt numFmtId="165" formatCode="_-&quot;$&quot;\ * #,##0.00_-;\-&quot;$&quot;\ * #,##0.00_-;_-&quot;$&quot;\ * &quot;-&quot;??_-;_-@"/>
    <numFmt numFmtId="166" formatCode="&quot;$&quot;\ #,##0;[Red]\-&quot;$&quot;\ #,##0"/>
  </numFmts>
  <fonts count="37" x14ac:knownFonts="1">
    <font>
      <sz val="12"/>
      <color theme="1"/>
      <name val="Calibri"/>
      <family val="2"/>
      <scheme val="minor"/>
    </font>
    <font>
      <b/>
      <sz val="12"/>
      <color theme="1"/>
      <name val="Calibri"/>
      <family val="2"/>
      <scheme val="minor"/>
    </font>
    <font>
      <sz val="11"/>
      <color theme="1"/>
      <name val="Calibri"/>
      <family val="2"/>
      <scheme val="minor"/>
    </font>
    <font>
      <sz val="11"/>
      <color theme="1"/>
      <name val="Calibri"/>
      <family val="2"/>
      <scheme val="minor"/>
    </font>
    <font>
      <b/>
      <sz val="14"/>
      <color theme="1"/>
      <name val="Calibri"/>
      <family val="2"/>
      <scheme val="minor"/>
    </font>
    <font>
      <sz val="10"/>
      <color theme="0"/>
      <name val="Calibri"/>
      <family val="2"/>
      <scheme val="minor"/>
    </font>
    <font>
      <sz val="11"/>
      <color theme="0"/>
      <name val="Calibri"/>
      <family val="2"/>
      <scheme val="minor"/>
    </font>
    <font>
      <u/>
      <sz val="11"/>
      <color theme="10"/>
      <name val="Calibri"/>
      <family val="2"/>
      <scheme val="minor"/>
    </font>
    <font>
      <u/>
      <sz val="11"/>
      <color theme="0"/>
      <name val="Calibri"/>
      <family val="2"/>
      <scheme val="minor"/>
    </font>
    <font>
      <sz val="18"/>
      <color theme="1"/>
      <name val="Arial"/>
      <family val="2"/>
    </font>
    <font>
      <sz val="18"/>
      <color theme="1"/>
      <name val="Calibri"/>
      <family val="2"/>
      <scheme val="minor"/>
    </font>
    <font>
      <sz val="10"/>
      <color theme="1"/>
      <name val="Arial"/>
      <family val="2"/>
    </font>
    <font>
      <sz val="10"/>
      <color theme="1"/>
      <name val="Calibri"/>
      <family val="2"/>
      <scheme val="minor"/>
    </font>
    <font>
      <b/>
      <sz val="11"/>
      <color theme="1"/>
      <name val="Calibri"/>
      <family val="2"/>
      <scheme val="minor"/>
    </font>
    <font>
      <b/>
      <sz val="11"/>
      <color rgb="FFFFFFFF"/>
      <name val="Arial"/>
      <family val="2"/>
    </font>
    <font>
      <b/>
      <sz val="9"/>
      <color rgb="FFFFFFFF"/>
      <name val="Arial"/>
      <family val="2"/>
    </font>
    <font>
      <sz val="11"/>
      <color rgb="FF000000"/>
      <name val="Arial"/>
      <family val="2"/>
    </font>
    <font>
      <sz val="11"/>
      <color rgb="FF000000"/>
      <name val="Calibri"/>
      <family val="2"/>
    </font>
    <font>
      <sz val="11"/>
      <color indexed="8"/>
      <name val="Calibri"/>
      <family val="2"/>
      <scheme val="minor"/>
    </font>
    <font>
      <sz val="8"/>
      <name val="Calibri"/>
      <family val="2"/>
      <scheme val="minor"/>
    </font>
    <font>
      <b/>
      <sz val="11"/>
      <color indexed="8"/>
      <name val="Calibri"/>
      <family val="2"/>
      <scheme val="minor"/>
    </font>
    <font>
      <i/>
      <sz val="10"/>
      <color rgb="FF808080"/>
      <name val="Calibri"/>
      <family val="2"/>
      <scheme val="minor"/>
    </font>
    <font>
      <b/>
      <sz val="12"/>
      <color rgb="FF262626"/>
      <name val="Arial"/>
      <family val="2"/>
    </font>
    <font>
      <sz val="12"/>
      <color rgb="FF000000"/>
      <name val="Arial"/>
      <family val="2"/>
    </font>
    <font>
      <i/>
      <sz val="10"/>
      <color rgb="FF808080"/>
      <name val="Arial"/>
      <family val="2"/>
    </font>
    <font>
      <b/>
      <sz val="11"/>
      <color rgb="FF262626"/>
      <name val="Arial"/>
      <family val="2"/>
    </font>
    <font>
      <u/>
      <sz val="12"/>
      <color theme="10"/>
      <name val="Calibri"/>
      <family val="2"/>
      <scheme val="minor"/>
    </font>
    <font>
      <sz val="12"/>
      <color theme="1"/>
      <name val="Calibri"/>
      <family val="2"/>
      <scheme val="minor"/>
    </font>
    <font>
      <b/>
      <sz val="11"/>
      <color rgb="FF000000"/>
      <name val="Calibri"/>
      <family val="2"/>
      <scheme val="minor"/>
    </font>
    <font>
      <sz val="9"/>
      <color indexed="8"/>
      <name val="Calibri"/>
      <family val="2"/>
      <scheme val="minor"/>
    </font>
    <font>
      <b/>
      <sz val="11"/>
      <color theme="1"/>
      <name val="Calibri"/>
      <family val="2"/>
    </font>
    <font>
      <sz val="11"/>
      <color theme="1"/>
      <name val="Calibri"/>
      <family val="2"/>
    </font>
    <font>
      <sz val="9"/>
      <color theme="1"/>
      <name val="Arial"/>
      <family val="2"/>
    </font>
    <font>
      <sz val="11"/>
      <color rgb="FF000000"/>
      <name val="Calibri"/>
      <family val="2"/>
      <scheme val="minor"/>
    </font>
    <font>
      <b/>
      <sz val="10"/>
      <color theme="1"/>
      <name val="Arial"/>
      <family val="2"/>
    </font>
    <font>
      <sz val="10"/>
      <color rgb="FF000000"/>
      <name val="Tahoma"/>
      <family val="2"/>
    </font>
    <font>
      <b/>
      <sz val="10"/>
      <color rgb="FF000000"/>
      <name val="Tahoma"/>
      <family val="2"/>
    </font>
  </fonts>
  <fills count="16">
    <fill>
      <patternFill patternType="none"/>
    </fill>
    <fill>
      <patternFill patternType="gray125"/>
    </fill>
    <fill>
      <patternFill patternType="solid">
        <fgColor rgb="FFFFFF00"/>
        <bgColor indexed="64"/>
      </patternFill>
    </fill>
    <fill>
      <patternFill patternType="solid">
        <fgColor rgb="FF3E949D"/>
        <bgColor indexed="64"/>
      </patternFill>
    </fill>
    <fill>
      <patternFill patternType="solid">
        <fgColor theme="9" tint="0.39997558519241921"/>
        <bgColor theme="4" tint="0.79998168889431442"/>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5" tint="-0.249977111117893"/>
        <bgColor indexed="64"/>
      </patternFill>
    </fill>
    <fill>
      <patternFill patternType="solid">
        <fgColor theme="0"/>
        <bgColor indexed="64"/>
      </patternFill>
    </fill>
    <fill>
      <patternFill patternType="solid">
        <fgColor rgb="FFB7E1CD"/>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5"/>
        <bgColor indexed="64"/>
      </patternFill>
    </fill>
    <fill>
      <patternFill patternType="solid">
        <fgColor theme="7"/>
        <bgColor indexed="64"/>
      </patternFill>
    </fill>
    <fill>
      <patternFill patternType="solid">
        <fgColor theme="9" tint="0.59999389629810485"/>
        <bgColor indexed="64"/>
      </patternFill>
    </fill>
    <fill>
      <patternFill patternType="solid">
        <fgColor theme="7" tint="0.59999389629810485"/>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
      <left/>
      <right/>
      <top style="thin">
        <color indexed="64"/>
      </top>
      <bottom/>
      <diagonal/>
    </border>
    <border>
      <left style="thin">
        <color indexed="64"/>
      </left>
      <right/>
      <top style="thin">
        <color indexed="64"/>
      </top>
      <bottom style="thin">
        <color indexed="64"/>
      </bottom>
      <diagonal/>
    </border>
    <border>
      <left/>
      <right style="thin">
        <color rgb="FF3E949D"/>
      </right>
      <top style="thin">
        <color rgb="FF3E949D"/>
      </top>
      <bottom/>
      <diagonal/>
    </border>
    <border>
      <left style="thin">
        <color rgb="FF3E949D"/>
      </left>
      <right style="thin">
        <color rgb="FF3E949D"/>
      </right>
      <top style="thin">
        <color rgb="FF3E949D"/>
      </top>
      <bottom style="thin">
        <color rgb="FF3E949D"/>
      </bottom>
      <diagonal/>
    </border>
    <border>
      <left/>
      <right style="thin">
        <color rgb="FF3E949D"/>
      </right>
      <top/>
      <bottom style="thin">
        <color indexed="64"/>
      </bottom>
      <diagonal/>
    </border>
    <border>
      <left/>
      <right style="thin">
        <color rgb="FF3E949D"/>
      </right>
      <top style="thin">
        <color rgb="FF3E949D"/>
      </top>
      <bottom style="thin">
        <color rgb="FF3E949D"/>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CCCCCC"/>
      </left>
      <right style="medium">
        <color rgb="FFCCCCCC"/>
      </right>
      <top style="medium">
        <color rgb="FFCCCCCC"/>
      </top>
      <bottom style="medium">
        <color rgb="FFCCCCCC"/>
      </bottom>
      <diagonal/>
    </border>
    <border>
      <left/>
      <right/>
      <top style="thin">
        <color indexed="64"/>
      </top>
      <bottom style="thin">
        <color theme="4" tint="0.39997558519241921"/>
      </bottom>
      <diagonal/>
    </border>
  </borders>
  <cellStyleXfs count="7">
    <xf numFmtId="0" fontId="0" fillId="0" borderId="0"/>
    <xf numFmtId="0" fontId="3" fillId="0" borderId="0"/>
    <xf numFmtId="0" fontId="7" fillId="0" borderId="0" applyNumberFormat="0" applyFill="0" applyBorder="0" applyAlignment="0" applyProtection="0"/>
    <xf numFmtId="0" fontId="18" fillId="0" borderId="0"/>
    <xf numFmtId="0" fontId="26" fillId="0" borderId="0" applyNumberFormat="0" applyFill="0" applyBorder="0" applyAlignment="0" applyProtection="0"/>
    <xf numFmtId="42" fontId="27" fillId="0" borderId="0" applyFont="0" applyFill="0" applyBorder="0" applyAlignment="0" applyProtection="0"/>
    <xf numFmtId="0" fontId="2" fillId="0" borderId="0"/>
  </cellStyleXfs>
  <cellXfs count="222">
    <xf numFmtId="0" fontId="0" fillId="0" borderId="0" xfId="0"/>
    <xf numFmtId="0" fontId="0" fillId="0" borderId="0" xfId="0" applyAlignment="1">
      <alignment horizontal="justify" vertical="justify" wrapText="1"/>
    </xf>
    <xf numFmtId="0" fontId="1" fillId="0" borderId="0" xfId="0" applyFont="1"/>
    <xf numFmtId="0" fontId="1" fillId="0" borderId="1" xfId="0" applyFont="1" applyBorder="1"/>
    <xf numFmtId="0" fontId="0" fillId="0" borderId="1" xfId="0" applyBorder="1"/>
    <xf numFmtId="0" fontId="0" fillId="0" borderId="1" xfId="0" applyBorder="1" applyAlignment="1">
      <alignment horizontal="justify" vertical="justify" wrapText="1"/>
    </xf>
    <xf numFmtId="0" fontId="4" fillId="2" borderId="0" xfId="1" applyFont="1" applyFill="1" applyAlignment="1">
      <alignment vertical="center"/>
    </xf>
    <xf numFmtId="0" fontId="5" fillId="2" borderId="0" xfId="1" applyFont="1" applyFill="1"/>
    <xf numFmtId="0" fontId="6" fillId="2" borderId="0" xfId="1" applyFont="1" applyFill="1"/>
    <xf numFmtId="0" fontId="3" fillId="2" borderId="0" xfId="1" applyFill="1"/>
    <xf numFmtId="0" fontId="6" fillId="0" borderId="0" xfId="1" applyFont="1"/>
    <xf numFmtId="0" fontId="8" fillId="0" borderId="0" xfId="2" applyFont="1" applyFill="1" applyAlignment="1">
      <alignment horizontal="center" vertical="center"/>
    </xf>
    <xf numFmtId="0" fontId="3" fillId="0" borderId="0" xfId="1"/>
    <xf numFmtId="0" fontId="5" fillId="0" borderId="0" xfId="1" applyFont="1"/>
    <xf numFmtId="0" fontId="12" fillId="0" borderId="0" xfId="1" applyFont="1"/>
    <xf numFmtId="0" fontId="2" fillId="0" borderId="0" xfId="1" applyFont="1"/>
    <xf numFmtId="0" fontId="3" fillId="0" borderId="1" xfId="1" applyBorder="1"/>
    <xf numFmtId="0" fontId="11" fillId="0" borderId="0" xfId="1" applyFont="1"/>
    <xf numFmtId="0" fontId="3" fillId="0" borderId="1" xfId="1" applyBorder="1" applyAlignment="1">
      <alignment vertical="center"/>
    </xf>
    <xf numFmtId="0" fontId="11" fillId="0" borderId="0" xfId="1" applyFont="1" applyAlignment="1">
      <alignment horizontal="center" vertical="center"/>
    </xf>
    <xf numFmtId="0" fontId="3" fillId="0" borderId="1" xfId="1" applyBorder="1" applyAlignment="1">
      <alignment horizontal="center" vertical="center"/>
    </xf>
    <xf numFmtId="3" fontId="11" fillId="0" borderId="0" xfId="1" applyNumberFormat="1" applyFont="1" applyAlignment="1">
      <alignment horizontal="center" vertical="center"/>
    </xf>
    <xf numFmtId="0" fontId="13" fillId="0" borderId="0" xfId="1" applyFont="1"/>
    <xf numFmtId="164" fontId="3" fillId="0" borderId="0" xfId="1" applyNumberFormat="1"/>
    <xf numFmtId="0" fontId="13" fillId="0" borderId="11" xfId="1" applyFont="1" applyBorder="1"/>
    <xf numFmtId="0" fontId="3" fillId="0" borderId="10" xfId="1" applyBorder="1"/>
    <xf numFmtId="0" fontId="3" fillId="0" borderId="2" xfId="1" applyBorder="1"/>
    <xf numFmtId="3" fontId="3" fillId="0" borderId="2" xfId="1" applyNumberFormat="1" applyBorder="1" applyAlignment="1">
      <alignment horizontal="center" vertical="center"/>
    </xf>
    <xf numFmtId="0" fontId="3" fillId="0" borderId="3" xfId="1" applyBorder="1"/>
    <xf numFmtId="3" fontId="3" fillId="0" borderId="3" xfId="1" applyNumberFormat="1" applyBorder="1" applyAlignment="1">
      <alignment horizontal="center" vertical="center"/>
    </xf>
    <xf numFmtId="0" fontId="3" fillId="0" borderId="4" xfId="1" applyBorder="1"/>
    <xf numFmtId="3" fontId="3" fillId="0" borderId="4" xfId="1" applyNumberFormat="1" applyBorder="1" applyAlignment="1">
      <alignment horizontal="center" vertical="center"/>
    </xf>
    <xf numFmtId="0" fontId="3" fillId="0" borderId="0" xfId="1" applyAlignment="1">
      <alignment vertical="center"/>
    </xf>
    <xf numFmtId="3" fontId="3" fillId="0" borderId="1" xfId="1" applyNumberFormat="1" applyBorder="1" applyAlignment="1">
      <alignment horizontal="center" vertical="center"/>
    </xf>
    <xf numFmtId="0" fontId="14" fillId="3" borderId="15" xfId="1" applyFont="1" applyFill="1" applyBorder="1" applyAlignment="1">
      <alignment horizontal="centerContinuous" vertical="center" readingOrder="1"/>
    </xf>
    <xf numFmtId="0" fontId="15" fillId="3" borderId="15" xfId="1" applyFont="1" applyFill="1" applyBorder="1" applyAlignment="1">
      <alignment horizontal="center" vertical="center" readingOrder="1"/>
    </xf>
    <xf numFmtId="0" fontId="3" fillId="0" borderId="10" xfId="1" applyBorder="1" applyAlignment="1">
      <alignment horizontal="left" vertical="center"/>
    </xf>
    <xf numFmtId="3" fontId="3" fillId="0" borderId="0" xfId="1" applyNumberFormat="1"/>
    <xf numFmtId="0" fontId="15" fillId="3" borderId="17" xfId="1" applyFont="1" applyFill="1" applyBorder="1" applyAlignment="1">
      <alignment horizontal="center" vertical="center" readingOrder="1"/>
    </xf>
    <xf numFmtId="3" fontId="15" fillId="3" borderId="15" xfId="1" applyNumberFormat="1" applyFont="1" applyFill="1" applyBorder="1" applyAlignment="1">
      <alignment horizontal="center" vertical="center" readingOrder="1"/>
    </xf>
    <xf numFmtId="0" fontId="14" fillId="3" borderId="17" xfId="1" applyFont="1" applyFill="1" applyBorder="1" applyAlignment="1">
      <alignment horizontal="center" vertical="center" readingOrder="1"/>
    </xf>
    <xf numFmtId="0" fontId="14" fillId="3" borderId="15" xfId="1" applyFont="1" applyFill="1" applyBorder="1" applyAlignment="1">
      <alignment horizontal="center" vertical="center" readingOrder="1"/>
    </xf>
    <xf numFmtId="3" fontId="16" fillId="0" borderId="15" xfId="1" applyNumberFormat="1" applyFont="1" applyBorder="1" applyAlignment="1">
      <alignment horizontal="center" vertical="center" readingOrder="1"/>
    </xf>
    <xf numFmtId="0" fontId="16" fillId="0" borderId="15" xfId="1" applyFont="1" applyBorder="1" applyAlignment="1">
      <alignment horizontal="center" vertical="center" readingOrder="1"/>
    </xf>
    <xf numFmtId="0" fontId="17" fillId="0" borderId="15" xfId="1" applyFont="1" applyBorder="1" applyAlignment="1">
      <alignment horizontal="center" vertical="center" readingOrder="1"/>
    </xf>
    <xf numFmtId="3" fontId="14" fillId="3" borderId="15" xfId="1" applyNumberFormat="1" applyFont="1" applyFill="1" applyBorder="1" applyAlignment="1">
      <alignment horizontal="center" vertical="center" readingOrder="1"/>
    </xf>
    <xf numFmtId="0" fontId="11" fillId="0" borderId="1" xfId="0" pivotButton="1" applyFont="1" applyBorder="1"/>
    <xf numFmtId="0" fontId="11" fillId="0" borderId="1" xfId="0" pivotButton="1" applyFont="1" applyBorder="1" applyAlignment="1">
      <alignment horizontal="center" vertical="center"/>
    </xf>
    <xf numFmtId="3" fontId="11" fillId="0" borderId="1" xfId="0" applyNumberFormat="1" applyFont="1" applyBorder="1" applyAlignment="1">
      <alignment horizontal="center" vertical="center"/>
    </xf>
    <xf numFmtId="0" fontId="11" fillId="0" borderId="1" xfId="0" applyFont="1" applyBorder="1" applyAlignment="1">
      <alignment vertical="center"/>
    </xf>
    <xf numFmtId="0" fontId="11" fillId="0" borderId="9" xfId="0" applyFont="1" applyBorder="1" applyAlignment="1">
      <alignment horizontal="center" vertical="center"/>
    </xf>
    <xf numFmtId="0" fontId="11" fillId="0" borderId="1" xfId="0" applyFont="1" applyBorder="1" applyAlignment="1">
      <alignment horizontal="center" vertical="center"/>
    </xf>
    <xf numFmtId="0" fontId="11" fillId="0" borderId="7" xfId="0" pivotButton="1" applyFont="1" applyBorder="1"/>
    <xf numFmtId="0" fontId="11" fillId="0" borderId="8" xfId="0" applyFont="1" applyBorder="1"/>
    <xf numFmtId="0" fontId="11" fillId="0" borderId="0" xfId="0" applyFont="1"/>
    <xf numFmtId="0" fontId="11" fillId="0" borderId="13" xfId="0" applyFont="1" applyBorder="1" applyAlignment="1">
      <alignment horizontal="center" vertical="center"/>
    </xf>
    <xf numFmtId="0" fontId="11" fillId="0" borderId="10" xfId="0" applyFont="1" applyBorder="1" applyAlignment="1">
      <alignment horizontal="center" vertical="center"/>
    </xf>
    <xf numFmtId="0" fontId="11" fillId="0" borderId="6" xfId="0" applyFont="1" applyBorder="1"/>
    <xf numFmtId="0" fontId="11" fillId="0" borderId="0" xfId="0" applyFont="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2" borderId="0" xfId="0" applyFont="1" applyFill="1" applyAlignment="1">
      <alignment horizontal="center" vertical="center"/>
    </xf>
    <xf numFmtId="0" fontId="11" fillId="2" borderId="6"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2" xfId="0" applyFont="1" applyFill="1" applyBorder="1" applyAlignment="1">
      <alignment horizontal="center" vertical="center"/>
    </xf>
    <xf numFmtId="0" fontId="18" fillId="0" borderId="0" xfId="3"/>
    <xf numFmtId="0" fontId="18" fillId="0" borderId="0" xfId="3" applyAlignment="1">
      <alignment vertical="center"/>
    </xf>
    <xf numFmtId="0" fontId="0" fillId="0" borderId="19" xfId="0" applyBorder="1"/>
    <xf numFmtId="0" fontId="0" fillId="0" borderId="21" xfId="0" applyBorder="1"/>
    <xf numFmtId="0" fontId="0" fillId="0" borderId="18" xfId="0" applyBorder="1"/>
    <xf numFmtId="0" fontId="0" fillId="0" borderId="0" xfId="0" applyAlignment="1">
      <alignment wrapText="1"/>
    </xf>
    <xf numFmtId="0" fontId="0" fillId="0" borderId="0" xfId="0" applyAlignment="1">
      <alignment vertical="center"/>
    </xf>
    <xf numFmtId="0" fontId="18" fillId="0" borderId="1" xfId="3" applyBorder="1" applyAlignment="1">
      <alignment horizontal="center" vertical="center"/>
    </xf>
    <xf numFmtId="0" fontId="18" fillId="0" borderId="20" xfId="3" applyBorder="1" applyAlignment="1">
      <alignment horizontal="center" vertical="center"/>
    </xf>
    <xf numFmtId="0" fontId="18" fillId="0" borderId="1" xfId="3" applyBorder="1" applyAlignment="1">
      <alignment vertical="center"/>
    </xf>
    <xf numFmtId="0" fontId="18" fillId="0" borderId="0" xfId="3" applyAlignment="1">
      <alignment horizontal="center" vertical="center"/>
    </xf>
    <xf numFmtId="3" fontId="0" fillId="0" borderId="0" xfId="0" applyNumberForma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3" fontId="0" fillId="0" borderId="1" xfId="0" applyNumberFormat="1" applyBorder="1" applyAlignment="1">
      <alignment vertical="center"/>
    </xf>
    <xf numFmtId="3" fontId="0" fillId="0" borderId="1" xfId="0" applyNumberFormat="1" applyBorder="1" applyAlignment="1">
      <alignment horizontal="center" vertical="center"/>
    </xf>
    <xf numFmtId="3" fontId="0" fillId="0" borderId="1" xfId="0" applyNumberFormat="1" applyBorder="1" applyAlignment="1">
      <alignment horizontal="center" vertical="center" wrapText="1"/>
    </xf>
    <xf numFmtId="0" fontId="0" fillId="0" borderId="24" xfId="0" pivotButton="1" applyBorder="1" applyAlignment="1">
      <alignment horizontal="center" vertical="center"/>
    </xf>
    <xf numFmtId="0" fontId="1" fillId="4" borderId="24" xfId="0" applyFont="1" applyFill="1" applyBorder="1" applyAlignment="1">
      <alignment horizontal="center" vertical="center"/>
    </xf>
    <xf numFmtId="0" fontId="1" fillId="4" borderId="24" xfId="0" applyFont="1" applyFill="1" applyBorder="1" applyAlignment="1">
      <alignment horizontal="center" vertical="center" wrapText="1"/>
    </xf>
    <xf numFmtId="0" fontId="0" fillId="5" borderId="24" xfId="0" applyFill="1" applyBorder="1" applyAlignment="1">
      <alignment horizontal="center" vertical="center" textRotation="90" wrapText="1"/>
    </xf>
    <xf numFmtId="0" fontId="0" fillId="0" borderId="19" xfId="0" applyBorder="1" applyAlignment="1">
      <alignment vertical="center"/>
    </xf>
    <xf numFmtId="3" fontId="0" fillId="0" borderId="22" xfId="0" applyNumberFormat="1" applyBorder="1" applyAlignment="1">
      <alignment horizontal="center" vertical="center"/>
    </xf>
    <xf numFmtId="0" fontId="18" fillId="0" borderId="22" xfId="3" applyBorder="1" applyAlignment="1">
      <alignment horizontal="center" vertical="center"/>
    </xf>
    <xf numFmtId="0" fontId="0" fillId="0" borderId="25" xfId="0" applyBorder="1"/>
    <xf numFmtId="0" fontId="0" fillId="0" borderId="20" xfId="0" applyBorder="1"/>
    <xf numFmtId="0" fontId="0" fillId="0" borderId="23" xfId="0" applyBorder="1"/>
    <xf numFmtId="3" fontId="0" fillId="0" borderId="1" xfId="0" applyNumberFormat="1" applyBorder="1" applyAlignment="1">
      <alignment horizontal="justify" vertical="center" wrapText="1"/>
    </xf>
    <xf numFmtId="0" fontId="22" fillId="0" borderId="0" xfId="0" applyFont="1"/>
    <xf numFmtId="0" fontId="23" fillId="0" borderId="0" xfId="0" applyFont="1"/>
    <xf numFmtId="0" fontId="1" fillId="5" borderId="24" xfId="0" applyFont="1" applyFill="1" applyBorder="1" applyAlignment="1">
      <alignment horizontal="center" vertical="center"/>
    </xf>
    <xf numFmtId="0" fontId="20" fillId="5" borderId="24" xfId="3" applyFont="1" applyFill="1" applyBorder="1" applyAlignment="1">
      <alignment horizontal="center" vertical="center"/>
    </xf>
    <xf numFmtId="0" fontId="20" fillId="5" borderId="25" xfId="3" applyFont="1" applyFill="1" applyBorder="1" applyAlignment="1">
      <alignment horizontal="center" vertical="center"/>
    </xf>
    <xf numFmtId="0" fontId="18" fillId="0" borderId="23" xfId="3" applyBorder="1" applyAlignment="1">
      <alignment horizontal="center" vertical="center"/>
    </xf>
    <xf numFmtId="0" fontId="25" fillId="0" borderId="0" xfId="0" applyFont="1"/>
    <xf numFmtId="0" fontId="16" fillId="0" borderId="0" xfId="0" applyFont="1"/>
    <xf numFmtId="0" fontId="22" fillId="2" borderId="0" xfId="0" applyFont="1" applyFill="1"/>
    <xf numFmtId="0" fontId="23" fillId="2" borderId="0" xfId="0" applyFont="1" applyFill="1"/>
    <xf numFmtId="0" fontId="0" fillId="2" borderId="0" xfId="0" applyFill="1"/>
    <xf numFmtId="0" fontId="25" fillId="2" borderId="0" xfId="0" applyFont="1" applyFill="1"/>
    <xf numFmtId="0" fontId="16" fillId="2" borderId="0" xfId="0" applyFont="1" applyFill="1"/>
    <xf numFmtId="0" fontId="2" fillId="0" borderId="1" xfId="3" applyFont="1" applyBorder="1" applyAlignment="1">
      <alignment horizontal="center" vertical="center"/>
    </xf>
    <xf numFmtId="0" fontId="1" fillId="4" borderId="25" xfId="0" applyFont="1" applyFill="1" applyBorder="1" applyAlignment="1">
      <alignment horizontal="center" vertical="center"/>
    </xf>
    <xf numFmtId="0" fontId="18" fillId="0" borderId="20" xfId="3" applyBorder="1" applyAlignment="1">
      <alignment horizontal="justify" vertical="center" wrapText="1"/>
    </xf>
    <xf numFmtId="0" fontId="18" fillId="0" borderId="20" xfId="3" applyBorder="1" applyAlignment="1">
      <alignment vertical="center"/>
    </xf>
    <xf numFmtId="3" fontId="0" fillId="0" borderId="22" xfId="0" applyNumberFormat="1" applyBorder="1" applyAlignment="1">
      <alignment horizontal="justify" vertical="center" wrapText="1"/>
    </xf>
    <xf numFmtId="3" fontId="0" fillId="0" borderId="22" xfId="0" applyNumberFormat="1" applyBorder="1" applyAlignment="1">
      <alignment horizontal="center" vertical="center" wrapText="1"/>
    </xf>
    <xf numFmtId="0" fontId="18" fillId="0" borderId="23" xfId="3" applyBorder="1" applyAlignment="1">
      <alignment horizontal="justify" vertical="center" wrapText="1"/>
    </xf>
    <xf numFmtId="0" fontId="18" fillId="0" borderId="0" xfId="3" applyAlignment="1">
      <alignment vertical="center" wrapText="1"/>
    </xf>
    <xf numFmtId="14" fontId="18" fillId="0" borderId="0" xfId="3" applyNumberFormat="1" applyAlignment="1">
      <alignment vertical="center"/>
    </xf>
    <xf numFmtId="0" fontId="0" fillId="0" borderId="18" xfId="0" pivotButton="1" applyBorder="1" applyAlignment="1">
      <alignment vertical="center"/>
    </xf>
    <xf numFmtId="0" fontId="0" fillId="0" borderId="24" xfId="0" pivotButton="1"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18" fillId="0" borderId="22" xfId="3" applyBorder="1" applyAlignment="1">
      <alignment vertical="center"/>
    </xf>
    <xf numFmtId="0" fontId="0" fillId="0" borderId="4" xfId="0" applyBorder="1" applyAlignment="1">
      <alignment vertical="center"/>
    </xf>
    <xf numFmtId="3" fontId="0" fillId="0" borderId="4" xfId="0" applyNumberFormat="1" applyBorder="1" applyAlignment="1">
      <alignment vertical="center"/>
    </xf>
    <xf numFmtId="3" fontId="0" fillId="0" borderId="0" xfId="0" applyNumberFormat="1" applyAlignment="1">
      <alignment vertical="center"/>
    </xf>
    <xf numFmtId="0" fontId="1" fillId="5" borderId="26" xfId="0" applyFont="1" applyFill="1" applyBorder="1" applyAlignment="1">
      <alignment horizontal="center" vertical="center"/>
    </xf>
    <xf numFmtId="3" fontId="0" fillId="0" borderId="10" xfId="0" applyNumberFormat="1" applyBorder="1" applyAlignment="1">
      <alignment horizontal="center" vertical="center"/>
    </xf>
    <xf numFmtId="3" fontId="0" fillId="0" borderId="27" xfId="0" applyNumberFormat="1" applyBorder="1" applyAlignment="1">
      <alignment horizontal="center" vertical="center"/>
    </xf>
    <xf numFmtId="0" fontId="0" fillId="0" borderId="25" xfId="0" applyBorder="1" applyAlignment="1">
      <alignment horizontal="center" vertical="center"/>
    </xf>
    <xf numFmtId="3" fontId="0" fillId="0" borderId="20" xfId="0" applyNumberFormat="1" applyBorder="1" applyAlignment="1">
      <alignment vertical="center"/>
    </xf>
    <xf numFmtId="3" fontId="0" fillId="0" borderId="23" xfId="0" applyNumberFormat="1" applyBorder="1" applyAlignment="1">
      <alignment vertical="center"/>
    </xf>
    <xf numFmtId="42" fontId="18" fillId="0" borderId="1" xfId="5" applyFont="1" applyBorder="1" applyAlignment="1">
      <alignment vertical="center"/>
    </xf>
    <xf numFmtId="42" fontId="18" fillId="0" borderId="1" xfId="5" applyFont="1" applyBorder="1" applyAlignment="1">
      <alignment horizontal="center" vertical="center"/>
    </xf>
    <xf numFmtId="0" fontId="18" fillId="0" borderId="18" xfId="3" applyBorder="1" applyAlignment="1">
      <alignment vertical="center"/>
    </xf>
    <xf numFmtId="0" fontId="1" fillId="6" borderId="24" xfId="0" applyFont="1" applyFill="1" applyBorder="1" applyAlignment="1">
      <alignment horizontal="center" vertical="center"/>
    </xf>
    <xf numFmtId="0" fontId="18" fillId="0" borderId="19" xfId="3" applyBorder="1" applyAlignment="1">
      <alignment vertical="center"/>
    </xf>
    <xf numFmtId="0" fontId="18" fillId="0" borderId="21" xfId="3" applyBorder="1" applyAlignment="1">
      <alignment vertical="center"/>
    </xf>
    <xf numFmtId="42" fontId="18" fillId="0" borderId="22" xfId="5" applyFont="1" applyBorder="1" applyAlignment="1">
      <alignment vertical="center"/>
    </xf>
    <xf numFmtId="42" fontId="18" fillId="0" borderId="22" xfId="5" applyFont="1"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13" fillId="6" borderId="24" xfId="0" applyFont="1" applyFill="1" applyBorder="1" applyAlignment="1">
      <alignment horizontal="center" vertical="center"/>
    </xf>
    <xf numFmtId="0" fontId="13" fillId="5" borderId="24" xfId="0" applyFont="1" applyFill="1" applyBorder="1" applyAlignment="1">
      <alignment horizontal="center" vertical="center"/>
    </xf>
    <xf numFmtId="0" fontId="13" fillId="4" borderId="24" xfId="0" applyFont="1" applyFill="1" applyBorder="1" applyAlignment="1">
      <alignment horizontal="center" vertical="center"/>
    </xf>
    <xf numFmtId="0" fontId="13" fillId="4" borderId="24" xfId="0" applyFont="1" applyFill="1" applyBorder="1" applyAlignment="1">
      <alignment horizontal="center" vertical="center" wrapText="1"/>
    </xf>
    <xf numFmtId="0" fontId="13" fillId="4" borderId="25" xfId="0" applyFont="1" applyFill="1" applyBorder="1" applyAlignment="1">
      <alignment horizontal="center" vertical="center"/>
    </xf>
    <xf numFmtId="0" fontId="18" fillId="0" borderId="19" xfId="3" applyBorder="1" applyAlignment="1">
      <alignment horizontal="center" vertical="center"/>
    </xf>
    <xf numFmtId="3" fontId="2" fillId="0" borderId="1" xfId="0" applyNumberFormat="1" applyFont="1" applyBorder="1" applyAlignment="1">
      <alignment horizontal="justify" vertical="center" wrapText="1"/>
    </xf>
    <xf numFmtId="3"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wrapText="1"/>
    </xf>
    <xf numFmtId="0" fontId="18" fillId="0" borderId="21" xfId="3" applyBorder="1" applyAlignment="1">
      <alignment horizontal="center" vertical="center"/>
    </xf>
    <xf numFmtId="3" fontId="2" fillId="0" borderId="22" xfId="0" applyNumberFormat="1" applyFont="1" applyBorder="1" applyAlignment="1">
      <alignment horizontal="justify" vertical="center" wrapText="1"/>
    </xf>
    <xf numFmtId="3" fontId="2" fillId="0" borderId="22" xfId="0" applyNumberFormat="1" applyFont="1" applyBorder="1" applyAlignment="1">
      <alignment horizontal="center" vertical="center"/>
    </xf>
    <xf numFmtId="3" fontId="2" fillId="0" borderId="22" xfId="0" applyNumberFormat="1" applyFont="1" applyBorder="1" applyAlignment="1">
      <alignment horizontal="center" vertical="center" wrapText="1"/>
    </xf>
    <xf numFmtId="0" fontId="13" fillId="5" borderId="24" xfId="0" applyFont="1" applyFill="1" applyBorder="1" applyAlignment="1">
      <alignment horizontal="center" vertical="center" textRotation="90" wrapText="1"/>
    </xf>
    <xf numFmtId="0" fontId="13" fillId="6" borderId="18" xfId="0" applyFont="1" applyFill="1" applyBorder="1" applyAlignment="1">
      <alignment horizontal="center" vertical="center"/>
    </xf>
    <xf numFmtId="0" fontId="18" fillId="0" borderId="1" xfId="3" applyBorder="1" applyAlignment="1">
      <alignment horizontal="justify" vertical="center" wrapText="1"/>
    </xf>
    <xf numFmtId="0" fontId="18" fillId="0" borderId="22" xfId="3" applyBorder="1" applyAlignment="1">
      <alignment horizontal="justify" vertical="center" wrapText="1"/>
    </xf>
    <xf numFmtId="0" fontId="26" fillId="0" borderId="1" xfId="4" applyBorder="1" applyAlignment="1">
      <alignment vertical="center"/>
    </xf>
    <xf numFmtId="0" fontId="0" fillId="7" borderId="0" xfId="0" applyFill="1"/>
    <xf numFmtId="0" fontId="18" fillId="8" borderId="1" xfId="3" applyFill="1" applyBorder="1" applyAlignment="1">
      <alignment vertical="center"/>
    </xf>
    <xf numFmtId="0" fontId="13" fillId="5" borderId="24"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5" borderId="28" xfId="0" applyFont="1" applyFill="1" applyBorder="1" applyAlignment="1">
      <alignment horizontal="center" vertical="center" wrapText="1"/>
    </xf>
    <xf numFmtId="0" fontId="13" fillId="5" borderId="29" xfId="0" applyFont="1" applyFill="1" applyBorder="1" applyAlignment="1">
      <alignment horizontal="center" vertical="center" wrapText="1"/>
    </xf>
    <xf numFmtId="0" fontId="0" fillId="0" borderId="30" xfId="0" applyBorder="1"/>
    <xf numFmtId="0" fontId="0" fillId="0" borderId="31" xfId="0" applyBorder="1"/>
    <xf numFmtId="0" fontId="0" fillId="0" borderId="32" xfId="0" applyBorder="1"/>
    <xf numFmtId="14" fontId="18" fillId="0" borderId="1" xfId="3" applyNumberFormat="1" applyBorder="1" applyAlignment="1">
      <alignment vertical="center"/>
    </xf>
    <xf numFmtId="0" fontId="29" fillId="0" borderId="1" xfId="3" applyFont="1" applyBorder="1" applyAlignment="1">
      <alignment vertical="center" textRotation="90"/>
    </xf>
    <xf numFmtId="0" fontId="30" fillId="0" borderId="33" xfId="6" applyFont="1" applyBorder="1" applyAlignment="1">
      <alignment wrapText="1"/>
    </xf>
    <xf numFmtId="0" fontId="2" fillId="0" borderId="0" xfId="6"/>
    <xf numFmtId="0" fontId="31" fillId="9" borderId="33" xfId="6" applyFont="1" applyFill="1" applyBorder="1" applyAlignment="1">
      <alignment wrapText="1"/>
    </xf>
    <xf numFmtId="0" fontId="32" fillId="0" borderId="33" xfId="6" applyFont="1" applyBorder="1" applyAlignment="1">
      <alignment vertical="center"/>
    </xf>
    <xf numFmtId="0" fontId="32" fillId="0" borderId="33" xfId="6" applyFont="1" applyBorder="1" applyAlignment="1">
      <alignment wrapText="1"/>
    </xf>
    <xf numFmtId="0" fontId="26" fillId="0" borderId="20" xfId="4" applyBorder="1" applyAlignment="1">
      <alignment vertical="center" wrapText="1"/>
    </xf>
    <xf numFmtId="0" fontId="26" fillId="0" borderId="23" xfId="4" applyBorder="1" applyAlignment="1">
      <alignment vertical="center" wrapText="1"/>
    </xf>
    <xf numFmtId="14" fontId="33" fillId="0" borderId="1" xfId="0" applyNumberFormat="1" applyFont="1" applyBorder="1" applyAlignment="1">
      <alignment vertical="center"/>
    </xf>
    <xf numFmtId="0" fontId="0" fillId="0" borderId="2" xfId="0" applyBorder="1" applyAlignment="1">
      <alignment horizontal="center" vertical="justify" wrapText="1"/>
    </xf>
    <xf numFmtId="0" fontId="0" fillId="0" borderId="3" xfId="0" applyBorder="1" applyAlignment="1">
      <alignment horizontal="center" vertical="justify" wrapText="1"/>
    </xf>
    <xf numFmtId="0" fontId="0" fillId="0" borderId="4" xfId="0" applyBorder="1" applyAlignment="1">
      <alignment horizontal="center" vertical="justify" wrapText="1"/>
    </xf>
    <xf numFmtId="0" fontId="9" fillId="0" borderId="0" xfId="1" applyFont="1" applyAlignment="1">
      <alignment horizontal="left" vertical="center"/>
    </xf>
    <xf numFmtId="0" fontId="10" fillId="0" borderId="0" xfId="1" applyFont="1"/>
    <xf numFmtId="0" fontId="14" fillId="3" borderId="14" xfId="1" applyFont="1" applyFill="1" applyBorder="1" applyAlignment="1">
      <alignment horizontal="center" vertical="center" readingOrder="1"/>
    </xf>
    <xf numFmtId="0" fontId="14" fillId="3" borderId="16" xfId="1" applyFont="1" applyFill="1" applyBorder="1" applyAlignment="1">
      <alignment horizontal="center" vertical="center" readingOrder="1"/>
    </xf>
    <xf numFmtId="42" fontId="18" fillId="0" borderId="0" xfId="3" applyNumberFormat="1" applyAlignment="1">
      <alignment horizontal="center" vertical="center"/>
    </xf>
    <xf numFmtId="0" fontId="34" fillId="6" borderId="1" xfId="0" applyFont="1" applyFill="1" applyBorder="1" applyAlignment="1">
      <alignment horizontal="center" vertical="center"/>
    </xf>
    <xf numFmtId="0" fontId="34" fillId="6" borderId="1" xfId="0" applyFont="1" applyFill="1" applyBorder="1"/>
    <xf numFmtId="0" fontId="34" fillId="6" borderId="34" xfId="0" applyFont="1" applyFill="1" applyBorder="1"/>
    <xf numFmtId="0" fontId="34" fillId="6" borderId="34" xfId="0" applyFont="1" applyFill="1" applyBorder="1" applyAlignment="1">
      <alignment horizontal="center" vertical="center"/>
    </xf>
    <xf numFmtId="0" fontId="34" fillId="0" borderId="1" xfId="0" applyFont="1" applyBorder="1" applyAlignment="1">
      <alignment horizontal="center" vertical="center"/>
    </xf>
    <xf numFmtId="0" fontId="34" fillId="0" borderId="12" xfId="0" applyFont="1" applyBorder="1"/>
    <xf numFmtId="0" fontId="34" fillId="0" borderId="1" xfId="0" applyFont="1" applyBorder="1" applyAlignment="1">
      <alignment vertical="center"/>
    </xf>
    <xf numFmtId="0" fontId="11" fillId="0" borderId="1" xfId="0" applyFont="1" applyBorder="1"/>
    <xf numFmtId="0" fontId="34" fillId="0" borderId="0" xfId="0" applyFont="1"/>
    <xf numFmtId="0" fontId="11" fillId="0" borderId="12" xfId="0" applyFont="1" applyBorder="1" applyAlignment="1">
      <alignment horizontal="center" vertical="center"/>
    </xf>
    <xf numFmtId="3" fontId="11" fillId="8" borderId="1" xfId="0" applyNumberFormat="1" applyFont="1" applyFill="1" applyBorder="1" applyAlignment="1">
      <alignment horizontal="center" vertical="center"/>
    </xf>
    <xf numFmtId="0" fontId="34" fillId="8" borderId="1" xfId="0" applyFont="1" applyFill="1" applyBorder="1" applyAlignment="1">
      <alignment vertical="center"/>
    </xf>
    <xf numFmtId="0" fontId="34" fillId="6" borderId="13" xfId="0" applyFont="1" applyFill="1" applyBorder="1" applyAlignment="1">
      <alignment horizontal="center" vertical="center"/>
    </xf>
    <xf numFmtId="0" fontId="34" fillId="6" borderId="9" xfId="0" applyFont="1" applyFill="1" applyBorder="1" applyAlignment="1">
      <alignment horizontal="center" vertical="center"/>
    </xf>
    <xf numFmtId="0" fontId="34" fillId="6" borderId="10" xfId="0" applyFont="1" applyFill="1" applyBorder="1" applyAlignment="1">
      <alignment horizontal="center" vertical="center"/>
    </xf>
    <xf numFmtId="3" fontId="34" fillId="6" borderId="1" xfId="0" applyNumberFormat="1" applyFont="1" applyFill="1" applyBorder="1" applyAlignment="1">
      <alignment horizontal="center" vertical="center"/>
    </xf>
    <xf numFmtId="0" fontId="13" fillId="5" borderId="0" xfId="0" applyFont="1" applyFill="1" applyBorder="1" applyAlignment="1">
      <alignment horizontal="center" vertical="center" wrapText="1"/>
    </xf>
    <xf numFmtId="0" fontId="0" fillId="10" borderId="0" xfId="0" applyFill="1" applyAlignment="1">
      <alignment vertical="top" wrapText="1"/>
    </xf>
    <xf numFmtId="0" fontId="22" fillId="11" borderId="0" xfId="0" applyFont="1" applyFill="1"/>
    <xf numFmtId="0" fontId="23" fillId="11" borderId="0" xfId="0" applyFont="1" applyFill="1"/>
    <xf numFmtId="0" fontId="0" fillId="0" borderId="31" xfId="0" applyBorder="1" applyAlignment="1">
      <alignment wrapText="1"/>
    </xf>
    <xf numFmtId="0" fontId="18" fillId="11" borderId="0" xfId="3" applyFill="1" applyAlignment="1">
      <alignment vertical="center"/>
    </xf>
    <xf numFmtId="0" fontId="0" fillId="11" borderId="0" xfId="0" applyFill="1"/>
    <xf numFmtId="0" fontId="18" fillId="12" borderId="0" xfId="3" applyFill="1" applyAlignment="1">
      <alignment vertical="center"/>
    </xf>
    <xf numFmtId="0" fontId="18" fillId="5" borderId="1" xfId="3" applyFill="1" applyBorder="1" applyAlignment="1">
      <alignment horizontal="center" vertical="center"/>
    </xf>
    <xf numFmtId="0" fontId="34" fillId="5" borderId="1" xfId="0" applyFont="1" applyFill="1" applyBorder="1" applyAlignment="1">
      <alignment horizontal="center" vertical="center"/>
    </xf>
    <xf numFmtId="0" fontId="11" fillId="11" borderId="1" xfId="0" applyFont="1" applyFill="1" applyBorder="1" applyAlignment="1">
      <alignment horizontal="center" vertical="center"/>
    </xf>
    <xf numFmtId="0" fontId="11" fillId="13" borderId="1" xfId="0" applyFont="1" applyFill="1" applyBorder="1" applyAlignment="1">
      <alignment horizontal="center" vertical="center"/>
    </xf>
    <xf numFmtId="0" fontId="18" fillId="14" borderId="1" xfId="3" applyFill="1" applyBorder="1" applyAlignment="1">
      <alignment horizontal="center" vertical="center"/>
    </xf>
    <xf numFmtId="0" fontId="34" fillId="14" borderId="1" xfId="0" applyFont="1" applyFill="1" applyBorder="1" applyAlignment="1">
      <alignment horizontal="center" vertical="center"/>
    </xf>
    <xf numFmtId="0" fontId="18" fillId="14" borderId="22" xfId="3" applyFill="1" applyBorder="1" applyAlignment="1">
      <alignment horizontal="center" vertical="center"/>
    </xf>
    <xf numFmtId="0" fontId="11" fillId="14" borderId="1" xfId="0" applyFont="1" applyFill="1" applyBorder="1"/>
    <xf numFmtId="0" fontId="34" fillId="15" borderId="1" xfId="0" applyFont="1" applyFill="1" applyBorder="1" applyAlignment="1">
      <alignment horizontal="center" vertical="center"/>
    </xf>
    <xf numFmtId="0" fontId="34" fillId="0" borderId="12" xfId="0" applyFont="1" applyBorder="1" applyAlignment="1">
      <alignment horizontal="center" vertical="center"/>
    </xf>
    <xf numFmtId="0" fontId="34" fillId="0" borderId="0" xfId="0" applyFont="1" applyBorder="1" applyAlignment="1">
      <alignment horizontal="center" vertical="center"/>
    </xf>
    <xf numFmtId="0" fontId="34" fillId="5" borderId="0" xfId="0" applyFont="1" applyFill="1" applyBorder="1" applyAlignment="1">
      <alignment horizontal="center" vertical="center"/>
    </xf>
    <xf numFmtId="0" fontId="26" fillId="0" borderId="1" xfId="4" applyBorder="1"/>
    <xf numFmtId="0" fontId="18" fillId="14" borderId="0" xfId="3" applyFill="1" applyAlignment="1">
      <alignment vertical="center"/>
    </xf>
  </cellXfs>
  <cellStyles count="7">
    <cellStyle name="Hipervínculo" xfId="4" builtinId="8"/>
    <cellStyle name="Hipervínculo 2" xfId="2" xr:uid="{DB2B3815-3089-CE47-B78B-314CCB883435}"/>
    <cellStyle name="Moneda [0]" xfId="5" builtinId="7"/>
    <cellStyle name="Normal" xfId="0" builtinId="0"/>
    <cellStyle name="Normal 2" xfId="1" xr:uid="{BC70E166-8282-E746-9665-F68D8A65459C}"/>
    <cellStyle name="Normal 3" xfId="3" xr:uid="{400E822A-A558-DB43-AE64-93F44C2DFBB0}"/>
    <cellStyle name="Normal 4" xfId="6" xr:uid="{79168567-A8F1-F843-B460-24BC014F27C9}"/>
  </cellStyles>
  <dxfs count="906">
    <dxf>
      <fill>
        <patternFill>
          <bgColor theme="5" tint="0.79998168889431442"/>
        </patternFill>
      </fill>
    </dxf>
    <dxf>
      <fill>
        <patternFill>
          <bgColor theme="5" tint="0.79998168889431442"/>
        </patternFill>
      </fill>
    </dxf>
    <dxf>
      <fill>
        <patternFill>
          <bgColor theme="5" tint="0.79998168889431442"/>
        </patternFill>
      </fill>
    </dxf>
    <dxf>
      <font>
        <color rgb="FF9C0006"/>
      </font>
      <fill>
        <patternFill>
          <bgColor rgb="FFFFC7CE"/>
        </patternFill>
      </fill>
    </dxf>
    <dxf>
      <font>
        <color rgb="FF9C5700"/>
      </font>
      <fill>
        <patternFill>
          <bgColor rgb="FFFFEB9C"/>
        </patternFill>
      </fill>
    </dxf>
    <dxf>
      <fill>
        <patternFill>
          <bgColor theme="5" tint="0.39994506668294322"/>
        </patternFill>
      </fill>
    </dxf>
    <dxf>
      <font>
        <color rgb="FF006100"/>
      </font>
      <fill>
        <patternFill>
          <bgColor rgb="FFC6EFCE"/>
        </patternFill>
      </fill>
    </dxf>
    <dxf>
      <font>
        <color rgb="FF006100"/>
      </font>
      <fill>
        <patternFill>
          <bgColor rgb="FFC6EFCE"/>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9C0006"/>
      </font>
      <fill>
        <patternFill>
          <bgColor rgb="FFFFC7CE"/>
        </patternFill>
      </fill>
    </dxf>
    <dxf>
      <font>
        <color rgb="FF9C5700"/>
      </font>
      <fill>
        <patternFill>
          <bgColor rgb="FFFFEB9C"/>
        </patternFill>
      </fill>
    </dxf>
    <dxf>
      <fill>
        <patternFill>
          <bgColor theme="5" tint="0.39994506668294322"/>
        </patternFill>
      </fill>
    </dxf>
    <dxf>
      <font>
        <color rgb="FF006100"/>
      </font>
      <fill>
        <patternFill>
          <bgColor rgb="FFC6EFCE"/>
        </patternFill>
      </fill>
    </dxf>
    <dxf>
      <font>
        <color rgb="FF006100"/>
      </font>
      <fill>
        <patternFill>
          <bgColor rgb="FFC6EFCE"/>
        </patternFill>
      </fill>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horizontal="center" vertical="center" textRotation="0" indent="0" justifyLastLine="0" shrinkToFit="0" readingOrder="0"/>
    </dxf>
    <dxf>
      <alignment vertical="center" indent="0" justifyLastLine="0" shrinkToFit="0" readingOrder="0"/>
    </dxf>
    <dxf>
      <alignment horizontal="center" vertical="center" textRotation="0" wrapText="0"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alignment vertical="center" indent="0" justifyLastLine="0" shrinkToFit="0" readingOrder="0"/>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theme="1"/>
      </font>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font>
        <color rgb="FFFF0000"/>
      </font>
    </dxf>
    <dxf>
      <font>
        <color rgb="FFFF0000"/>
      </font>
    </dxf>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alignment wrapText="1"/>
    </dxf>
    <dxf>
      <alignment wrapText="1"/>
    </dxf>
    <dxf>
      <alignment wrapText="1"/>
    </dxf>
    <dxf>
      <alignment wrapText="1"/>
    </dxf>
    <dxf>
      <alignment wrapText="1"/>
    </dxf>
    <dxf>
      <alignment wrapText="1"/>
    </dxf>
    <dxf>
      <alignment wrapText="1"/>
    </dxf>
    <dxf>
      <alignment wrapText="1"/>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bottom"/>
    </dxf>
    <dxf>
      <alignment horizontal="center"/>
    </dxf>
    <dxf>
      <border>
        <top style="thin">
          <color indexed="64"/>
        </top>
        <horizontal style="thin">
          <color indexed="64"/>
        </horizontal>
      </border>
    </dxf>
    <dxf>
      <border>
        <top style="thin">
          <color indexed="64"/>
        </top>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alignment vertical="center"/>
    </dxf>
    <dxf>
      <alignment vertical="center"/>
    </dxf>
    <dxf>
      <alignment vertical="center"/>
    </dxf>
    <dxf>
      <alignment vertical="center"/>
    </dxf>
    <dxf>
      <alignment vertical="center"/>
    </dxf>
    <dxf>
      <alignment vertical="cent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vertical="center"/>
    </dxf>
    <dxf>
      <alignment horizontal="center"/>
    </dxf>
    <dxf>
      <alignment vertic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horizontal style="thin">
          <color indexed="64"/>
        </horizontal>
      </border>
    </dxf>
    <dxf>
      <alignment horizontal="center"/>
    </dxf>
    <dxf>
      <alignment vertical="center"/>
    </dxf>
    <dxf>
      <border>
        <top style="thin">
          <color indexed="64"/>
        </top>
        <vertical style="thin">
          <color indexed="64"/>
        </vertical>
        <horizontal style="thin">
          <color indexed="64"/>
        </horizontal>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font>
        <sz val="11"/>
      </font>
    </dxf>
    <dxf>
      <alignment vertical="center"/>
    </dxf>
    <dxf>
      <alignment horizontal="center"/>
    </dxf>
    <dxf>
      <font>
        <sz val="11"/>
      </font>
    </dxf>
    <dxf>
      <font>
        <sz val="16"/>
      </font>
    </dxf>
    <dxf>
      <font>
        <sz val="16"/>
      </font>
    </dxf>
    <dxf>
      <font>
        <sz val="16"/>
      </font>
    </dxf>
    <dxf>
      <alignment vertical="bottom"/>
    </dxf>
    <dxf>
      <alignment vertical="bottom"/>
    </dxf>
    <dxf>
      <alignment vertical="bottom"/>
    </dxf>
    <dxf>
      <alignment horizontal="center"/>
    </dxf>
    <dxf>
      <alignment horizontal="center"/>
    </dxf>
    <dxf>
      <alignment horizontal="center"/>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sz val="14"/>
      </font>
    </dxf>
    <dxf>
      <font>
        <sz val="16"/>
      </font>
    </dxf>
    <dxf>
      <alignment wrapText="1"/>
    </dxf>
    <dxf>
      <border>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horizontal="center"/>
    </dxf>
    <dxf>
      <alignment vertical="center"/>
    </dxf>
    <dxf>
      <alignment vertical="center"/>
    </dxf>
    <dxf>
      <alignment wrapText="1"/>
    </dxf>
    <dxf>
      <alignment wrapText="1"/>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0"/>
    </dxf>
    <dxf>
      <alignment wrapText="0"/>
    </dxf>
    <dxf>
      <alignment wrapText="0"/>
    </dxf>
    <dxf>
      <alignment wrapText="0"/>
    </dxf>
    <dxf>
      <alignment wrapText="0"/>
    </dxf>
    <dxf>
      <alignment wrapText="0"/>
    </dxf>
    <dxf>
      <alignment wrapText="0"/>
    </dxf>
    <dxf>
      <alignment wrapText="0"/>
    </dxf>
    <dxf>
      <numFmt numFmtId="3" formatCode="#,##0"/>
    </dxf>
    <dxf>
      <alignment vertical="center"/>
    </dxf>
    <dxf>
      <alignment wrapText="1"/>
    </dxf>
    <dxf>
      <alignment vertical="center"/>
    </dxf>
    <dxf>
      <alignment vertical="center"/>
    </dxf>
    <dxf>
      <alignment vertical="center"/>
    </dxf>
    <dxf>
      <alignment horizontal="center"/>
    </dxf>
    <dxf>
      <alignment horizontal="center"/>
    </dxf>
    <dxf>
      <alignment horizontal="center"/>
    </dxf>
    <dxf>
      <alignment horizontal="cent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alignment wrapText="0"/>
    </dxf>
    <dxf>
      <alignment wrapText="0"/>
    </dxf>
    <dxf>
      <alignment wrapText="0"/>
    </dxf>
    <dxf>
      <alignment wrapText="0"/>
    </dxf>
    <dxf>
      <alignment wrapText="0"/>
    </dxf>
    <dxf>
      <alignment wrapText="0"/>
    </dxf>
    <dxf>
      <alignment wrapText="0"/>
    </dxf>
    <dxf>
      <numFmt numFmtId="3" formatCode="#,##0"/>
    </dxf>
    <dxf>
      <alignment vertical="center"/>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3" formatCode="#,##0"/>
    </dxf>
    <dxf>
      <alignment vertical="center"/>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clarckleon/Downloads/Informacion%20emprestitos/TBC%20EMPRESTISTOS%20-%20W33(Recuperado%20automa&#769;ticamente).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LENOVO/OneDrive/Documentos/ALCALCIA%20DE%20CALI/PAA/W-33%20PAA%2020250815/W-33%20GABINETE%2020250815.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86.961417245373" createdVersion="8" refreshedVersion="8" minRefreshableVersion="3" recordCount="119" xr:uid="{90543150-2364-294E-A1C7-BAB0BEFA5164}">
  <cacheSource type="worksheet">
    <worksheetSource ref="B2:BI121" sheet="RESUMEN CONTRATOS" r:id="rId2"/>
  </cacheSource>
  <cacheFields count="60">
    <cacheField name="Emprestito" numFmtId="0">
      <sharedItems count="8">
        <s v="Bancolombia"/>
        <s v="DAVIVIENDA"/>
        <s v="Banco Occidente"/>
        <s v="DAVIVIENDA-Otro Si"/>
        <s v="Banco de Occidente" u="1"/>
        <s v="LO SACARON" u="1"/>
        <s v="Por Definir" u="1"/>
        <s v="SE INCLUYE EN EL CONTRATO 3" u="1"/>
      </sharedItems>
    </cacheField>
    <cacheField name="Organismo" numFmtId="0">
      <sharedItems containsBlank="1" count="18">
        <s v="Bienestar Social"/>
        <s v="Cultura"/>
        <s v="DATIC"/>
        <s v="Deportes"/>
        <s v="Desarrollo Económico"/>
        <s v="Educación"/>
        <s v="Infraestructura"/>
        <s v="Participación"/>
        <s v="Vivienda"/>
        <s v="Seguridad"/>
        <s v="Bienes y ServivioS"/>
        <s v="Riesgos"/>
        <s v="Salud"/>
        <s v="Bienes y servicios" u="1"/>
        <m u="1"/>
        <s v="Salud " u="1"/>
        <s v="Movilidad" u="1"/>
        <s v="Cultura+parque Pacifico" u="1"/>
      </sharedItems>
    </cacheField>
    <cacheField name="BP Proyecto" numFmtId="0">
      <sharedItems containsMixedTypes="1" containsNumber="1" containsInteger="1" minValue="26004701" maxValue="26005942" count="32">
        <n v="26005432"/>
        <n v="26005340"/>
        <n v="26005260"/>
        <n v="26005264"/>
        <n v="26005395"/>
        <n v="26005399"/>
        <n v="26005359"/>
        <n v="26005788"/>
        <n v="26005488"/>
        <n v="26004701"/>
        <n v="26005375"/>
        <n v="26005393"/>
        <n v="26005429"/>
        <n v="26005871"/>
        <n v="26005427"/>
        <n v="26005211"/>
        <n v="26005261"/>
        <n v="26005255"/>
        <n v="26005258"/>
        <n v="26005416"/>
        <s v="POR DEFINIR"/>
        <n v="26005500"/>
        <n v="26005941"/>
        <n v="26005942"/>
        <n v="26004728"/>
        <n v="26005280"/>
        <n v="26005409"/>
        <n v="26005914"/>
        <n v="26005920"/>
        <n v="26005424"/>
        <n v="26005296" u="1"/>
        <n v="26004729" u="1"/>
      </sharedItems>
    </cacheField>
    <cacheField name="Descripcion BP" numFmtId="0">
      <sharedItems containsBlank="1" count="48">
        <s v="Casa Matria Juanambú"/>
        <s v="Proyecto 1: Mejoramiento de las bibliotecas públicas"/>
        <s v="Fortalecimiento de la Plataforma Tecnológica de la Alcaldia de Santiago de Cali"/>
        <s v="Fortalecimiento del servicio de internet gratuito en parques y zonas públicas del distrito"/>
        <s v="Mejoramiento de la oferta de trámites y servicios en línea a los ciudadanos de Santiago de Cali"/>
        <s v="Conservacion de la infraestructura deportiva y recreativa del distrito especial de Santiago de Cali"/>
        <s v="Fortalecimiento de las capacidades del ecosistema laboral para el desarrollo productivo sostenible en el distrito de  Santiago de Cali) - MI CALI BECA"/>
        <s v="Fortalecimiento Infraestructura Educativa Sedes Educativas Oficiales"/>
        <s v="Mi Cali Beca"/>
        <s v="Mejoramiento a la Infraestructura física de las sedes educativas oficiales de Santiago de Cali"/>
        <s v="RECUPERACION DE LA INFRAESTRUCTURA VIAL DE SANTIAGO DE CALI"/>
        <s v="CALIS"/>
        <s v="Fortalecimiento de la oferta habitacional"/>
        <s v="BP-26005871: CASA MATRIA ORIENTE"/>
        <s v="Fortalecimiento del Sistema Distrital de Cuidado &quot;Cuidarte&quot; en el Distrito de Santiago de Cali"/>
        <s v="Implementacion del recorrido patrimonial del complejo musical dancistico de la salsa en Santiago de Cali "/>
        <s v="Consolidación de la red municipal integrada - REMI en el Distrito Santiago de Cali"/>
        <s v="Implementación soluciones tecnológicas para el aprovechamiento estratégico de datos en el distrito de Santiago de Cali"/>
        <s v="“Fortalecimiento de las capacidades del ecosistema laboral para el desarrollo productivo sostenible en el Distrito de Santiago de Cali”"/>
        <s v="&quot;Construcción y operación del Centro de Ciencia, Arte y Tecnología del distrito de Santiago de Cali&quot;"/>
        <s v="Proyecto 2: BP-5416 Contribución a la reducción del déficit cualitativo/subsidios"/>
        <s v="BP-5429 Fortalecimiento de la oferta habitacional"/>
        <s v="Lotes Parque Central"/>
        <s v="Estaciones de policía y CAI"/>
        <s v="Renovación y Modernización Integral de la Infraestructura del Concejo Distrital y la Plataforma Administrativa"/>
        <s v="Implementación del parque de las cocinas, bebidas tradicionales y artesanías del pacífico “parque pacífico” de Santiago de Cali"/>
        <s v="Proyecto : Renovación de los Espacios y Ambientes de las Bibliotecas Públicas de la Red en Santiago de Cali_x000a_"/>
        <s v="BP-26005260: Proyecto 1: Fortalecimiento de la Plataforma Tecnológica de la Alcaldia de Santiago de Cali"/>
        <s v="BP-26005375 RECUPERACION DE LA INFRAESTRUCTURA VIAL DE SANTIAGO DE CALI"/>
        <s v="Bomberos - Maquina nueva"/>
        <s v="Clinica Mama"/>
        <s v="Hospital Antonio Nariño"/>
        <s v="Proyecto 1: BP-5424 Implementación de obras de EP en el marco de la PPMIH"/>
        <s v="Modernización del CAM pisos 1, 2 y 3 y concejo, hall bancario (rentas)" u="1"/>
        <s v="Por definir" u="1"/>
        <m u="1"/>
        <s v="Proyecto : Mejoramiento de las bibliotecas públicas" u="1"/>
        <s v="Parque el Pacifico" u="1"/>
        <s v="Contrato: Haciendo un Clic" u="1"/>
        <s v="Yawa" u="1"/>
        <s v="Cali Becas" u="1"/>
        <s v="Clinica Mama " u="1"/>
        <s v="Hospital ntonio Nariño " u="1"/>
        <s v="Contribución a la reducción del déficit cualitativo/subsidios" u="1"/>
        <s v="Implementación del recorrido patrimonial del complejo musical-dancístico de la Salsa en Santiago de Cali" u="1"/>
        <s v="Valor restante" u="1"/>
        <s v="Implementación del Sistema Inteligente Integrado de Transporte Público en Santiago de  Cali" u="1"/>
        <s v=" BP-5429 Fortalecimiento de la oferta habitacional" u="1"/>
      </sharedItems>
    </cacheField>
    <cacheField name="Proyectos con sus respectivos contratos" numFmtId="0">
      <sharedItems containsBlank="1" count="193" longText="1">
        <s v="Contrato 1: Obra"/>
        <s v="Contrato 2: Interventoria"/>
        <s v="Contrato 1: Obra civil"/>
        <s v="Contrato 2:  Interventoria obra civil"/>
        <s v="Contrato 11: Modernización tecnológica Plataforma Gestión Contractual (PGC) para Uso y apropiación distrital"/>
        <s v="Contrato 05: Sistema Mesa de ayuda"/>
        <s v="Contrato 02: Interventoria Infraestructura y Seguridad, Conectividad a plataformas en nubes"/>
        <s v="Contrato 03: Fortalecimiento y modernización del SGFT SAP"/>
        <s v="Contrato 07: Plataforma para los sistemas de información financiera de la Alcaldía de Santiago de Cali en Nube"/>
        <s v="Contrato 06: Sistema de virtualización para los sistemas de información transversales de la Alcaldía de Santiago de Cali en Nube, Sistema de análisis"/>
        <s v="Contrato 08: Servicio de virtualización del DRP para los sistemas de información transversales de la Alcaldía de Santiago de Cali en Nube"/>
        <s v="Contrato 01: Infraestructura y Seguridad, Conectividad a plataformas en nubes"/>
        <s v="Contrato 09: Desarrollo de Ecosistema de Aplicaciones (web y móvil) Distrito de Cali"/>
        <s v="Contrato 10: Interventoria Desarrollo de Ecosistema de Aplicaciones (web y móvil) Distrito de Cali"/>
        <s v="Contrato 12: Aplicación Infraestructura Tecnológica (DATIC)"/>
        <s v="Contrato 13: Desarrollo APP de Ciudad"/>
        <s v="Contrato 14: Desarrollos ABAP SAP"/>
        <s v="Contrato 15:  Modernización e Instalación de Zonas WiFi en el Distrito de Santiago de Cali"/>
        <s v="Contrato 16:  Interventoria Modernización e Instalación de Zonas WiFi en el Distrito de Santiago de Cali"/>
        <s v="Contrato 17: Automatización de Procesos y racionalización de trámites"/>
        <s v="Contrato 04: Suite Google Workspace"/>
        <s v="Contrato 1: Obra Mantenimiento 66 escenarios deportivos"/>
        <s v="Contrato 3: Adecuacion 36 escenarios deportivos y recreativos"/>
        <s v="Contrato 2 Interventoría del contrato 1"/>
        <s v="Contrato 4: Interventoria del contrato 2"/>
        <s v="Contrato 1: Constituir un Fondo en Administración con recursos aportados por EL CONSTITUYENTE al ICETEX, quien actuará como administrador y mandatario, para financiar becas en programas de formación por competencias, enfocados en bilingüismo y habilidades clave para mejorar la competitividad del talento humano en el Distrito de Santiago de Cali."/>
        <s v="Contrato 2: Implementar herramientas tecnológicas que faciliten el acceso a rutas de apropiación digital del conocimiento en el marco del fortalecimiento del talento humano del Distrito de Santiago de Cali."/>
        <s v="Contrato 3: Diseñar e implementar una estrategia de acciones pedagógicas de difusión, así como la promoción y comunicación de la oferta de becas en formación complementaria y en Educación para el Trabajo y el Desarrollo Humano, sus avances, beneficiarios y/o impactos."/>
        <s v="Contrato 4: Ejercer seguimiento integral a la estrategia de formación por competencias en bilingüismo, habilidades clave y apropiación digital, para fortalecer la competitividad del talento humano en el Distrito de Santiago de Cali."/>
        <s v="Contrato 3: Transferencia FFIE Obras Ley 21 (7 COLEGIOS)"/>
        <s v="Contrato 4. Convenio Icetex "/>
        <s v="Contrato 1: Adecuaciones 22 sedes educativas"/>
        <s v="Contrato 2:  Interventoria Adecuaciones 22 sedes"/>
        <s v="Contrato 01: Licitación Puntos estratégicos vias"/>
        <s v="Contrato 03: Licitación Cicloinfraestructura"/>
        <s v="Contrato 11: Compra de Maquinaria, vehiculos pesados y equipos"/>
        <s v="Contrato 02. Interventoria Licitación Puntos estratégicos vias"/>
        <s v="Contrato 09: Compra equipos para Maquinaria"/>
        <s v="Contrato 06:  Muros Urbanos "/>
        <s v="Contrato 07: Placa Huella y  Muros Rurales."/>
        <s v="Contrato 10: Compra de equipos"/>
        <s v="Contrato 12: Compra de Maquinaria, vehiculos pesados y equipos"/>
        <s v="Contrato 05: Mantenimiento cicloinfraestructura "/>
        <s v="Contrato 08:  Suministro de matriales y suministros"/>
        <s v="Contrato 2: OBRA"/>
        <s v="Contrato 3: INTERVENTORIA"/>
        <s v="Contrato 1. Subsidios para cierre financiero"/>
        <s v="Contrato 3: MISN Santa Elena"/>
        <s v="Contrato 4. Compra manzana usos complementarios Fiscalía"/>
        <s v="Contrato 6. Compra Predios Cristo Rey"/>
        <s v="Contrato 2. VIP El Pondaje"/>
        <s v="Contrato 5. Compra manzana VIS Renovación urbana San Pascual"/>
        <s v="Contrato 6. Socialización y difusión de los proyectos que generan la oferta habitacional en el Distrito "/>
        <s v="Contrato 1: Obra (Convenio Interadministrativo con el Ministerio de Igualdad y Equidad )"/>
        <s v="Contrato 2: Interventoría - Interventoria Convenio Interadministrativo con el Ministerio de Igualdad y Equidad "/>
        <s v="Contrato 1: Sistema de Información del Sistema Distrital de Cuidado SIDICU"/>
        <s v="Contrato 2: Adecuaciones locativas Aulas y Centros de lavado 2025"/>
        <s v="Contrato 3: Compra de lavadoras, secadoras y artículos para las Aulas y Centros de lavado 2025"/>
        <s v="Contrato 4: Interventoría 2025"/>
        <s v="Contrato 5: Adecuaciones locativas Aulas y Centros de lavado 2026"/>
        <s v="Contrato 6: Compra de lavadoras, secadoras y artículos para las Aulas y Centros de lavado 2026"/>
        <s v="Contrato 7: Interventoría 2026"/>
        <s v="Contrato 1: contratar los servicios de mandato sin representación para el desarrollo del proyecto bp- 26005211, denominado: “implementación del recorrido patrimonial del complejo musical-dancístico de la salsa en Santiago de Cali” en su fase ii"/>
        <s v="Contrato 23: Interventoria Modernización y Ampliación de la Red REMI en Distrito de Santiago de Cali"/>
        <s v="Contrato 21: I + D + i + Gov - Tech"/>
        <s v="Contrato 19:  Interventoria Ciudad Inteligente"/>
        <s v="Contrato 22: Modernización y Ampliación de la Red REMI en Distrito de Santiago de Cali"/>
        <s v="Contrato 20: Modelos y soluciones IA"/>
        <s v="Contrato 18: Ciudad Inteligente"/>
        <s v="Aunar esfuerzos para apoyar la ejecución de las obras e interventoría del proyecto denominado CONSTRUCCIÓN DEL PROYECTO SENA CENTRO DE FORMACIÓN CALI AVENIDA CUARTA y establecer las condiciones para hacer efectivo el apoyo financiero del Departamento del Valle del Cauca y el Servicio Nacional de Aprendizaje – SENA Regional Valle del Cauca."/>
        <s v="Construcción de las fases II y III del Centro de Ciencia, Arte y Tecnología – YAWA. "/>
        <s v="Interventoría para ela construcción de las fases II y III del Centro de Ciencia, Arte y Tecnología – YAWA. "/>
        <s v="Contrato de Promoción del Centro de Ciencia, Arte y Tecnología del Distrito de Santiago de Cali"/>
        <s v="Cali Becas"/>
        <s v="Contrato 4: Recuperación Ciudad de Cali "/>
        <s v="Contrato 1:  Suministro de materiales y suministros"/>
        <s v="Contrato 2: Licitación malla vial "/>
        <s v="Contrato 3: Interventoria licitación malla vial "/>
        <s v="Contrato 4: Interventoría Mixto"/>
        <s v="Contrato 1: Mixto"/>
        <s v="Contrato 6: Mixto "/>
        <s v="Contrato 5: Interventoría obra"/>
        <s v="Contrato 7: Mixto  "/>
        <s v="Contrato 3: Dotación"/>
        <s v="Contrato 6 Contrato Subsidios de Mejoramiento de Vivienda "/>
        <s v="Proyecto 2 : VIP El Pondaje 600"/>
        <s v="Proyecto 3: Pondaje 300"/>
        <s v="Proyecto 4: SAE 243 - 5 Predios transferidos"/>
        <s v="Proyecto 5: Lote Crema y Rojo"/>
        <s v="Proyecto 1:Construccion espacio publico manzana usos complementarios Fiscalía"/>
        <s v="Por definir"/>
        <s v="OBRA: Infraestructura educativa construcción 7 sedes - NUEVO COLEGIO ZONA DE EXPANSIÓN"/>
        <s v="INTERVENTORIA: Infraestructura educativa construcción 7 sedes - NUEVO COLEGIO ZONA DE EXPANSIÓN"/>
        <s v="OBRA: Infraestructura educativa construcción 7 sedes - Republica de Argentina - Sede Principal"/>
        <s v="INTERVENTORIA: Infraestructura educativa construcción 7 sedes - Republica de Argentina - Sede Principal"/>
        <s v="OBRA: Infraestructura educativa construcción 7 sedes - Republica de Argentina - Sede Policarpa Salavarrieta"/>
        <s v="INTERVENTORIA: Infraestructura educativa construcción 7 sedes - Republica de Argentina - Sede Policarpa Salavarrieta"/>
        <s v="Adecuación y mantenimiento de 35 Estaciones de policía y CAI"/>
        <s v="Contrato 7: Obra"/>
        <s v="Contrato 8: Interventoria"/>
        <s v="Contrato 1: Parque Pacífico"/>
        <s v="Contrato 3: Adquisición de mobiliario"/>
        <s v="Contrato 4: Adquisición Pantallas interactivas"/>
        <s v="Contrato 5: Adquisición de equipos técnologicos computadores"/>
        <s v="Contrato 6: Adquisición de licencias ofimaticas"/>
        <s v="Contrato 23: Interventoria Hacienda a un clic"/>
        <s v="Contrato 24: Hacienda a un clic"/>
        <s v="Contrato 1: Licitación Puntos estratégicos vias - Adición VF"/>
        <s v="Contrato: Compra de Maquina"/>
        <s v="Apoyo a al supervisión"/>
        <s v="Obra"/>
        <s v="Contrato 10: Estudios de detalle Espacio Público  El Pondaje"/>
        <s v="Contrato 8: Estudios de detalle Espacio Público  Cristo Rey Tramo IV"/>
        <s v="Contrato 9:Estudios de detalle Espacio Público  Bulevar Figueroa"/>
        <s v="Infraestructura para el Mejoramiento y/o Adecuación de las Edificaciones propiedad de la Alcaldía Distrital de Santiago de Cali. e Interventoria" u="1"/>
        <s v="Interventoria Obra civil" u="1"/>
        <s v="Infraestructura Deportiva" u="1"/>
        <m u="1"/>
        <s v="Contrato 2: Adecuaciones locativas Aulas y Centros de lavado" u="1"/>
        <s v="Contrato 3: Compra de lavadoras, secadoras y artículos para las Aulas y Centros de lavado" u="1"/>
        <s v="Contrato 4: Interventoría " u="1"/>
        <s v="Convenio Interadministrativo con el Ministerio de Igualdad y Equidad " u="1"/>
        <s v="Interventoria Convenio Interadministrativo con el Ministerio de Igualdad y Equidad " u="1"/>
        <s v="Contrato 3: Dotación de Mobiliario Equipos y licencias " u="1"/>
        <s v="Cultura y partque el pacifico" u="1"/>
        <s v="Contrato: A un Click " u="1"/>
        <s v="SENA" u="1"/>
        <s v="Yawa" u="1"/>
        <s v="Contrato: Compra de Maquina " u="1"/>
        <s v="Contrato: Obra" u="1"/>
        <s v="Contrato 10: Consultoria Estudios y Diseños Urbanismo El Pondaje" u="1"/>
        <s v="Contrato 6 Contrato Subsidios" u="1"/>
        <s v="Contrato 7: Interventoria " u="1"/>
        <s v="Contrato 8: Consultoria Estudios y Diseños Cristo Rey Tramo IV" u="1"/>
        <s v="Contrato 9: Consultoria Estudios y Diseños Bulevar Figueroa" u="1"/>
        <s v="Proyecto 1:Compra manzana usos complementarios Fiscalía" u="1"/>
        <s v="Proyecto 2 : VIP El Pondaje 600 EMCALI" u="1"/>
        <s v="Proyecto 4: SAE 243 - 5 Predios transferidos " u="1"/>
        <s v="Contrato 4: Interventoría Licitación Cicloinfraestructura." u="1"/>
        <s v="XD" u="1"/>
        <s v="Contrato 1: Contrato de fiducia mercantil para constitucion del P.A." u="1"/>
        <s v="Contrato 2: Contrato de compraventa de flota" u="1"/>
        <s v="Contrato 3: Contrato de compraventa de flota" u="1"/>
        <s v="Contrato 4: Contrato de obra" u="1"/>
        <s v="Contrato 4: Interventoría" u="1"/>
        <s v="Contrato 2:  interventoria" u="1"/>
        <s v="Contrato 06: Sistema de virtualización para los sistemas de información transversales de la Alcaldía de Santiago de Cali en Nube." u="1"/>
        <s v="Contrato 17: Automatización de Procesos y racionalización de trámites " u="1"/>
        <s v="Contrato 1: Mantenimiento 86 escenarios deportivos" u="1"/>
        <s v="Contrato 3: Adecuacion 23 escenarios deportivos y recreativos" u="1"/>
        <s v="Contrato 1: Licitación Puntos estratégicos vias" u="1"/>
        <s v="Contrato 2. Interventoria Licitación Puntos estratégicos vias" u="1"/>
        <s v="Contrato 3: Licitación Cicloinfraestructura" u="1"/>
        <s v="Contrato 5: Mantenimiento cicloinfraestructura " u="1"/>
        <s v="Contrato 6:  Muros Urbanos " u="1"/>
        <s v="Contrato 7: Placa Huella y  Muros Rurales." u="1"/>
        <s v="Contrato 8:  Suministro de matriales y suministros" u="1"/>
        <s v="Contrato 9: Compra equipos para Maquinaria" u="1"/>
        <s v="Contrato 4: INTERVENTORIA" u="1"/>
        <s v="Contrato 6. Compra Predios Cristo Rey " u="1"/>
        <s v="Contrato 7: Interventoría Licitación Muros Rurales." u="1"/>
        <s v="Contrato 5: Muros urbanos" u="1"/>
        <s v="Contrato 4: OBRA" u="1"/>
        <s v="Contrato 6: Licitación Muros rurales" u="1"/>
        <s v="Contrato 3: OBRA" u="1"/>
        <s v="Contrato: diseños: Diseños Cristo Rey y Boluevard" u="1"/>
        <s v="Contrato 9: Compra de Maquinaria, vehiculos pesados" u="1"/>
        <s v="Contrato 9: Compra de EQUIPOS" u="1"/>
        <s v="po definir" u="1"/>
        <s v="Contrato 8: Interventoria " u="1"/>
        <s v="Contrato 7: Interventoria Subsidios" u="1"/>
        <s v="Contrato 9: Interventoría obra" u="1"/>
        <s v="Contrato 8: Interventoría Mixto" u="1"/>
        <s v="Contrato 7: Dotación" u="1"/>
        <s v="Contrato 6: Obra" u="1"/>
        <s v="Contrato 5: Mixto" u="1"/>
        <s v="Contrato 6: Muros rurales / PAA : Realizar obras de infraestructura hidráulica en la zona rural del Distrito de Santiago de Cali" u="1"/>
        <s v="Contrato 9: Compra de EQUIPOS para maquinaria" u="1"/>
        <s v="Contrato 7 Contrato Subsidios" u="1"/>
        <s v="Contrato 1:Compra manzana usos complementarios Fiscalía" u="1"/>
        <s v="Contrato 2: VIP El Pondaje*" u="1"/>
        <s v="Contrato 3 Interventoria " u="1"/>
        <s v="Contrato 4: SAE 243 - 5 Predios transferidos" u="1"/>
        <s v="Contrato 5 Interventoria " u="1"/>
        <s v="Contrato 6: Lote Crema y Rojo" u="1"/>
        <s v="Contrato 2:  Adecuacion 23 escenarios deportivos y recreativos" u="1"/>
        <s v="Contrato 3 Interventoría del contrato 1" u="1"/>
        <s v="Contrato 3:  Adecuacion 23 escenarios deportivos y recreativos" u="1"/>
        <s v="Contrato 4 Interventoría del contrato 1" u="1"/>
        <s v="Contrato 5: Interventoria del contrato 2" u="1"/>
        <s v="Contrato  4: Interventoria del contrato 2" u="1"/>
        <s v="Contrato 1: Formación y Certificación." u="1"/>
        <s v="Contrato 2:  Sistema de información, registro y monitoreo." u="1"/>
      </sharedItems>
    </cacheField>
    <cacheField name="Valor Emprestito" numFmtId="0">
      <sharedItems containsString="0" containsBlank="1" containsNumber="1" minValue="30336230" maxValue="96039452137.5"/>
    </cacheField>
    <cacheField name="Valor Interventoria" numFmtId="0">
      <sharedItems containsString="0" containsBlank="1" containsNumber="1" minValue="0" maxValue="3000000000"/>
    </cacheField>
    <cacheField name="Valor Contrato" numFmtId="0">
      <sharedItems containsSemiMixedTypes="0" containsString="0" containsNumber="1" minValue="30336230" maxValue="197096447869"/>
    </cacheField>
    <cacheField name="Tipo de Contratación" numFmtId="0">
      <sharedItems containsBlank="1" count="78">
        <s v="Licitación Pública"/>
        <s v="Contrato Interadministrativo"/>
        <s v="Concurso de Méritos"/>
        <s v="Selección Abreviada de Menor Cuantía"/>
        <s v="Directa"/>
        <s v="Instrumento de Agregación de Demanda"/>
        <s v="Acuerdo Marco"/>
        <s v="Licitación"/>
        <s v="Minima Cuantía"/>
        <s v="selección Directa"/>
        <s v="Contrato/convenio Interadminstrativo "/>
        <s v="Convenio de asociación/Decreto 092 de 2017 "/>
        <s v="Contrato Interadministrativo/ Contratación Directa"/>
        <s v="Resolucion Transferencia"/>
        <s v="Selección Abreviada"/>
        <s v="Selección Abreviada AMP"/>
        <s v="Menor Cuantía"/>
        <s v="Convenio interadministrativo"/>
        <s v="Acuerdo Marco de Precios"/>
        <s v="Resolución de traslado"/>
        <s v="Convenio Interadministrativo SVS EDRU"/>
        <s v="Compra Directa"/>
        <s v="Convenio Distrito FEV"/>
        <s v="Por definir con Sec Gobierno"/>
        <s v="Concurso de meritos abierto - Selección abreviada"/>
        <s v="Licitación Pública "/>
        <s v="Mínima Cuantía"/>
        <s v="Selección abreviada (Compra)"/>
        <s v="Contrato Interadministrativo con la EDRU"/>
        <s v="Convenio Interadministrativo/ Contratación Directa"/>
        <s v="Contrato de Obra Pública/Licitación "/>
        <s v="Contrato de Interventoría/ Concurso de Méritos "/>
        <s v="Contrato de Prestación de Servicios/Selección abreviada de menor cuantía "/>
        <s v="Concurso de meritos abierto"/>
        <s v="concurso meritos abiertos"/>
        <s v="licitacion"/>
        <s v="Licitaición"/>
        <s v="subasta inversa"/>
        <s v="POR DEFINIR"/>
        <s v="Licitación Publica"/>
        <s v="Concursos de Meritos"/>
        <s v="Concurso de Meritos"/>
        <s v="Selección abreviada Subasta inversa"/>
        <s v="Selección abreviada Menor Cuantia"/>
        <s v="Minima Cuantia Grandes Superficies"/>
        <s v="Selección Abreviada Acuerdo Marco de Precios "/>
        <s v="Otros mecanismos Instrumento de Agregación de Demanda"/>
        <s v="SUBASTA INVERSA ELECTRÓNICA"/>
        <s v="Contrato"/>
        <m u="1"/>
        <s v="Mínima Cuantía " u="1"/>
        <s v="Acuerdo marco de Precios " u="1"/>
        <s v="Selección Abreviada Agregación de Demanda" u="1"/>
        <s v="licitacion " u="1"/>
        <s v="subasta inversa " u="1"/>
        <s v="concurso meritos abiertos " u="1"/>
        <s v="Licitaición " u="1"/>
        <s v="Concurso de Meritos  " u="1"/>
        <s v="Contrato interadministrativo EDRU" u="1"/>
        <s v="XD" u="1"/>
        <s v="Contratación Directa" u="1"/>
        <s v="Instrumento de Agregación de Demanda  " u="1"/>
        <s v=" Instrumento de Agregación de Demanda " u="1"/>
        <s v="Acuerdo Marco " u="1"/>
        <s v="Contratación Directa - Único Proveedor " u="1"/>
        <s v="Proceso Competitivo del Decreto 092 de 2017" u="1"/>
        <s v="Contratación Directa - Convenio/Contratos Interadministrativos" u="1"/>
        <s v="Contratación Directa - Prestación de Servicios Profesionales y Apoyo a la Gestión (Persona Jurídica)" u="1"/>
        <s v="Contratacion directa" u="1"/>
        <s v="Selección Abreviada Menor Cuantía" u="1"/>
        <s v="Selección abreviada - Acuerdo Marco de Precios " u="1"/>
        <s v="Selección Abreviada  Subasta inversa " u="1"/>
        <s v="Pendiente por definir de acuerdo a las reuniones que se están sosteniendo con el Alcalde " u="1"/>
        <s v="Licitacion Publica" u="1"/>
        <s v="Convenio Secretaría FEV" u="1"/>
        <s v="Contrato Fiduciaria" u="1"/>
        <s v="svsh" u="1"/>
        <s v="Concurso de Méritos (cambia a selección abreviada menor cuantia) confirmar" u="1"/>
      </sharedItems>
    </cacheField>
    <cacheField name="PRE-RADICADO PAA" numFmtId="0">
      <sharedItems containsMixedTypes="1" containsNumber="1" containsInteger="1" minValue="18472" maxValue="19828" count="72">
        <n v="18971"/>
        <n v="18974"/>
        <n v="18889"/>
        <n v="18890"/>
        <n v="18933"/>
        <n v="18946"/>
        <n v="19009"/>
        <n v="18921"/>
        <n v="18924"/>
        <n v="18945"/>
        <n v="18928"/>
        <n v="18918"/>
        <n v="18930"/>
        <n v="19008"/>
        <n v="19196"/>
        <n v="18934"/>
        <n v="18935"/>
        <n v="19225"/>
        <n v="19012"/>
        <n v="18926"/>
        <n v="18947"/>
        <n v="18996"/>
        <n v="19000"/>
        <n v="18998"/>
        <n v="19001"/>
        <n v="18992"/>
        <n v="18993"/>
        <n v="18994"/>
        <n v="19197"/>
        <s v="NO VA AL PAA"/>
        <n v="18973"/>
        <n v="18910"/>
        <n v="18912"/>
        <n v="18978"/>
        <n v="18472"/>
        <n v="19143"/>
        <n v="18984"/>
        <n v="19140"/>
        <n v="19194"/>
        <n v="19193"/>
        <n v="18976"/>
        <n v="18990"/>
        <n v="18986"/>
        <n v="18970"/>
        <n v="18988"/>
        <n v="19030"/>
        <n v="19032"/>
        <s v="18955 Y 18958"/>
        <n v="18957"/>
        <n v="19828"/>
        <n v="18972"/>
        <s v="Sin Incluir"/>
        <n v="18983"/>
        <n v="18979"/>
        <n v="18982"/>
        <n v="18981"/>
        <s v="VIGENCIA 2026"/>
        <n v="19011"/>
        <n v="18941"/>
        <n v="18940"/>
        <n v="18939"/>
        <n v="19383"/>
        <n v="19028"/>
        <s v="Por definir"/>
        <n v="18951" u="1"/>
        <n v="18897" u="1"/>
        <n v="18894" u="1"/>
        <n v="18891" u="1"/>
        <n v="18896" u="1"/>
        <n v="18989" u="1"/>
        <n v="18958" u="1"/>
        <n v="19007" u="1"/>
      </sharedItems>
    </cacheField>
    <cacheField name="Con recursos en Z-192" numFmtId="0">
      <sharedItems containsBlank="1"/>
    </cacheField>
    <cacheField name="COMITÉ CONTRATACION" numFmtId="0">
      <sharedItems containsDate="1" containsBlank="1" containsMixedTypes="1" minDate="2025-06-09T00:00:00" maxDate="2025-06-19T00:00:00" count="13">
        <s v="C. Ordinario 8-jul-25"/>
        <s v="C. Ordinario 9-jun-25"/>
        <s v="C. Extra. 18-jun-2025"/>
        <s v="C. Extra. 26-jun-2025"/>
        <s v="Pendiente"/>
        <m/>
        <s v="Aprobado"/>
        <s v="NO VA AL PAA"/>
        <s v="C. Ordinario 12-Ago-25"/>
        <s v="En proceso para el comité del 8 de julio" u="1"/>
        <s v="Es para la vigencia 2026" u="1"/>
        <d v="2025-06-09T00:00:00" u="1"/>
        <d v="2025-06-18T00:00:00" u="1"/>
      </sharedItems>
    </cacheField>
    <cacheField name="Estado Comité de Contratación" numFmtId="0">
      <sharedItems containsBlank="1" count="6">
        <s v="Aprobado"/>
        <s v="Pendiente"/>
        <m/>
        <s v="NO VA AL PAA"/>
        <s v="En proceso para el comité del 8 de julio" u="1"/>
        <s v="Es para la vigencia 2026" u="1"/>
      </sharedItems>
    </cacheField>
    <cacheField name="APROBADO PAA" numFmtId="0">
      <sharedItems containsBlank="1"/>
    </cacheField>
    <cacheField name="PROGRAMADO INICIO PAA" numFmtId="0">
      <sharedItems containsBlank="1" count="6">
        <m/>
        <s v="JUNIO"/>
        <s v="JULIO"/>
        <s v="AGOSTO"/>
        <s v="SEPTIEMBRE"/>
        <s v="X" u="1"/>
      </sharedItems>
    </cacheField>
    <cacheField name="Vigencia Futura" numFmtId="165">
      <sharedItems containsBlank="1" count="5">
        <s v="SI"/>
        <s v="No"/>
        <m/>
        <s v="por definir"/>
        <s v="XD" u="1"/>
      </sharedItems>
    </cacheField>
    <cacheField name="Revisión delegación" numFmtId="0">
      <sharedItems containsBlank="1" count="3">
        <m/>
        <s v="SI"/>
        <s v="NO"/>
      </sharedItems>
    </cacheField>
    <cacheField name="RADICADO SIN CDP" numFmtId="0">
      <sharedItems containsDate="1" containsBlank="1" containsMixedTypes="1" minDate="2025-05-13T00:00:00" maxDate="2025-05-14T00:00:00"/>
    </cacheField>
    <cacheField name="ABOGADO" numFmtId="0">
      <sharedItems containsBlank="1" count="8">
        <m/>
        <s v="Nilton Caicedo"/>
        <s v="Juan Esteban Quiceno"/>
        <s v="Janeisy Katina Riascos"/>
        <s v="Milton Astaiza"/>
        <s v="Julian Brango"/>
        <s v="Jorge Mario Sandoval"/>
        <s v="Jessica Cruz"/>
      </sharedItems>
    </cacheField>
    <cacheField name="TECNICO" numFmtId="165">
      <sharedItems containsBlank="1" count="5">
        <s v="Clark Leon"/>
        <s v="Jorge Marin"/>
        <m/>
        <s v="Jhon Jairo Gaviria"/>
        <s v="Jorge Marín" u="1"/>
      </sharedItems>
    </cacheField>
    <cacheField name="FINANCIERO" numFmtId="0">
      <sharedItems containsBlank="1" count="7">
        <m/>
        <s v="Christian Renteria"/>
        <s v="Ana Milena Alzate"/>
        <s v="Gustavo Moreno"/>
        <s v="pendiente"/>
        <s v="Chirstian Renteria"/>
        <s v="Hector Cabezas"/>
      </sharedItems>
    </cacheField>
    <cacheField name="LIDER JURIDICA" numFmtId="0">
      <sharedItems containsBlank="1"/>
    </cacheField>
    <cacheField name="RADICADO  ORFEO SIN CDP" numFmtId="0">
      <sharedItems containsBlank="1" containsMixedTypes="1" containsNumber="1" containsInteger="1" minValue="2.0254134010000499E+17" maxValue="2.0254134010000499E+17"/>
    </cacheField>
    <cacheField name="Observaciones" numFmtId="0">
      <sharedItems containsBlank="1"/>
    </cacheField>
    <cacheField name="Estado" numFmtId="0">
      <sharedItems containsDate="1" containsBlank="1" containsMixedTypes="1" minDate="2025-06-24T00:00:00" maxDate="2025-06-25T00:00:00"/>
    </cacheField>
    <cacheField name="ORFEO RTA DACP" numFmtId="0">
      <sharedItems containsBlank="1"/>
    </cacheField>
    <cacheField name="FECHA RADICADO EN ORFEO con cdp" numFmtId="0">
      <sharedItems containsNonDate="0" containsDate="1" containsBlank="1" containsMixedTypes="1" minDate="2025-05-02T00:00:00" maxDate="2026-04-18T00:00:00"/>
    </cacheField>
    <cacheField name="ESTADO2" numFmtId="0">
      <sharedItems containsBlank="1"/>
    </cacheField>
    <cacheField name="FECHA APROBACION DELEGACION" numFmtId="0">
      <sharedItems containsNonDate="0" containsDate="1" containsBlank="1" containsMixedTypes="1" minDate="2025-05-17T00:00:00" maxDate="2026-05-03T00:00:00"/>
    </cacheField>
    <cacheField name="PUBLICADO" numFmtId="0">
      <sharedItems containsBlank="1" count="4">
        <m/>
        <s v="PUBLICADO"/>
        <s v="PUBLICADO W32"/>
        <s v="VIGENCIA 2026"/>
      </sharedItems>
    </cacheField>
    <cacheField name="Fecha inicio" numFmtId="0">
      <sharedItems containsNonDate="0" containsDate="1" containsBlank="1" containsMixedTypes="1" minDate="2025-08-03T00:00:00" maxDate="2026-08-01T00:00:00"/>
    </cacheField>
    <cacheField name="Fecha terminación" numFmtId="0">
      <sharedItems containsNonDate="0" containsDate="1" containsBlank="1" containsMixedTypes="1" minDate="2025-03-01T00:00:00" maxDate="2026-12-01T00:00:00"/>
    </cacheField>
    <cacheField name="Forma de pago" numFmtId="0">
      <sharedItems containsBlank="1"/>
    </cacheField>
    <cacheField name="jul-25" numFmtId="0">
      <sharedItems containsString="0" containsBlank="1" containsNumber="1" containsInteger="1" minValue="0" maxValue="0"/>
    </cacheField>
    <cacheField name="%" numFmtId="9">
      <sharedItems containsString="0" containsBlank="1" containsNumber="1" containsInteger="1" minValue="0" maxValue="0"/>
    </cacheField>
    <cacheField name="ago-25" numFmtId="0">
      <sharedItems containsString="0" containsBlank="1" containsNumber="1" containsInteger="1" minValue="78852272" maxValue="14000000000"/>
    </cacheField>
    <cacheField name="%2" numFmtId="0">
      <sharedItems containsString="0" containsBlank="1" containsNumber="1" minValue="0.1" maxValue="0.7"/>
    </cacheField>
    <cacheField name="sep-25" numFmtId="0">
      <sharedItems containsString="0" containsBlank="1" containsNumber="1" minValue="0" maxValue="6492000000"/>
    </cacheField>
    <cacheField name="%3" numFmtId="0">
      <sharedItems containsString="0" containsBlank="1" containsNumber="1" minValue="0.14000000000000001" maxValue="1"/>
    </cacheField>
    <cacheField name="oct-25" numFmtId="0">
      <sharedItems containsString="0" containsBlank="1" containsNumber="1" minValue="0" maxValue="6699599711"/>
    </cacheField>
    <cacheField name="%4" numFmtId="0">
      <sharedItems containsString="0" containsBlank="1" containsNumber="1" minValue="0.04" maxValue="0.6"/>
    </cacheField>
    <cacheField name="nov-25" numFmtId="0">
      <sharedItems containsString="0" containsBlank="1" containsNumber="1" minValue="65000000" maxValue="6000000000"/>
    </cacheField>
    <cacheField name="%5" numFmtId="0">
      <sharedItems containsString="0" containsBlank="1" containsNumber="1" minValue="0" maxValue="0.3"/>
    </cacheField>
    <cacheField name="dic-25" numFmtId="0">
      <sharedItems containsString="0" containsBlank="1" containsNumber="1" minValue="0" maxValue="80000000000"/>
    </cacheField>
    <cacheField name="%6" numFmtId="0">
      <sharedItems containsString="0" containsBlank="1" containsNumber="1" minValue="0.08" maxValue="0.5"/>
    </cacheField>
    <cacheField name="EJECUTADO 2025" numFmtId="0">
      <sharedItems containsString="0" containsBlank="1" containsNumber="1" minValue="0" maxValue="80000000000"/>
    </cacheField>
    <cacheField name="ene-26" numFmtId="0">
      <sharedItems containsString="0" containsBlank="1" containsNumber="1" containsInteger="1" minValue="0" maxValue="1985500000"/>
    </cacheField>
    <cacheField name="%7" numFmtId="0">
      <sharedItems containsString="0" containsBlank="1" containsNumber="1" minValue="0" maxValue="0.2"/>
    </cacheField>
    <cacheField name="feb-26" numFmtId="0">
      <sharedItems containsString="0" containsBlank="1" containsNumber="1" containsInteger="1" minValue="0" maxValue="3154090893"/>
    </cacheField>
    <cacheField name="%8" numFmtId="0">
      <sharedItems containsString="0" containsBlank="1" containsNumber="1" minValue="0" maxValue="0.25"/>
    </cacheField>
    <cacheField name="mar-26" numFmtId="0">
      <sharedItems containsString="0" containsBlank="1" containsNumber="1" minValue="0" maxValue="7752877886"/>
    </cacheField>
    <cacheField name="%9" numFmtId="0">
      <sharedItems containsString="0" containsBlank="1" containsNumber="1" minValue="0" maxValue="1"/>
    </cacheField>
    <cacheField name="ABRIL A DIC DE 2026" numFmtId="0">
      <sharedItems containsString="0" containsBlank="1" containsNumber="1" containsInteger="1" minValue="0" maxValue="7644997527"/>
    </cacheField>
    <cacheField name="%10" numFmtId="0">
      <sharedItems containsNonDate="0" containsString="0" containsBlank="1"/>
    </cacheField>
    <cacheField name="Total 2026" numFmtId="0">
      <sharedItems containsString="0" containsBlank="1" containsNumber="1" minValue="0" maxValue="74289347590"/>
    </cacheField>
    <cacheField name="Gran Total 2025+2026 " numFmtId="0">
      <sharedItems containsString="0" containsBlank="1" containsNumber="1" minValue="0" maxValue="80000000000"/>
    </cacheField>
    <cacheField name="Total 2027" numFmtId="0">
      <sharedItems containsString="0" containsBlank="1" containsNumber="1" containsInteger="1" minValue="0" maxValue="32421154785"/>
    </cacheField>
    <cacheField name="Gran Total 2025+2026 +2027" numFmtId="0">
      <sharedItems containsString="0" containsBlank="1" containsNumber="1" minValue="0" maxValue="106710502375"/>
    </cacheField>
    <cacheField name="Validación 2025/2026" numFmtId="166">
      <sharedItems containsBlank="1"/>
    </cacheField>
    <cacheField name="Validación 2025/2026/2027" numFmtId="166">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77.513804282411" createdVersion="8" refreshedVersion="8" minRefreshableVersion="3" recordCount="20" xr:uid="{D95DA9FF-8705-074A-9B36-CE9F6CA775C1}">
  <cacheSource type="worksheet">
    <worksheetSource name="Tabla2022" r:id="rId2"/>
  </cacheSource>
  <cacheFields count="54">
    <cacheField name="CODIGO ORGANISMO" numFmtId="0">
      <sharedItems/>
    </cacheField>
    <cacheField name="ORGANISMO" numFmtId="0">
      <sharedItems/>
    </cacheField>
    <cacheField name="DESCRIPCION" numFmtId="0">
      <sharedItems count="20" longText="1">
        <s v="(CONVENIO PLAN EDRU) El DISTRITO DEPORTIVO, CULTURAL, TURÍSTICO, EMPRESARIAL Y DE SERVICIOS DE SANTIAGO DE CALI y la EMPRESA DE DESARROLLO Y RENOVACIÓN URBANA, E.I.C.E, (EDRU) celebran el presente convenio para la ejecución de algunos de los proyectos del Plan de Desarrollo: Cali, Capital Pacífica de Colombia, 2024 – 2027, adoptado mediante el Acuerdo Distrital 0578 de 2024, de conformidad al articulo 107 de la ley 489 de 1998 que se identifican en el alcance del presente negocio jurídico lo relacionado con el proyecto de obra de la plaza de mercado Alameda."/>
        <s v="EMPRÉSTITO – “Mantenimiento de los equipamientos culturales de Santiago de Cali”. El Distrito Santiago de Cali – Secretaria de Cultura requiere contratar la Interventoría técnica, administrativa, financiera y jurídica de las obras civiles para la intervención de reparaciones locativas, modificación, adecuación y demás actividades complementarias para la conservación y mejoramiento de los equipamientos culturales y centros culturales del distrito de Santiago de Cali,  en el marco del proyecto BP-26005340 denominado “Mantenimiento de los equipamientos culturales de Santiago de Cali”. De conformidad con las especificaciones técnicas contempladas en los presentes estudios técnicos."/>
        <s v="EMPRÉSTITO – “Mantenimiento de los equipamientos culturales de Santiago de Cali”. El Distrito de Santiago de Cali – Secretaría de Cultura requiere contratar las obras civiles para la intervención de reparaciones locativas, modificación, adecuación y demás actividades complementarias para la conservación y mejoramiento de los equipamientos culturales y centros culturales del distrito de Santiago de Cali."/>
        <s v="EMPRESTITO -  BP- 26005260 Fortalecimiento de la Plataforma tecnológica de la Alcaldía de Santiago de Cali.- Adquirir herramienta para habilitar y operar la Mesa de Servicios, con el fin de gestionar de manera integral los servicios de Tecnologías de la Información (TI) y otros servicios transversales en la Alcaldía de Santiago de Cali._x000a_"/>
        <s v="EMPRESTITO- BP- 26005260. Nombre del Proyecto: Fortalecimiento de la Plataforma tecnológica de la Alcaldía de Santiago de Cali.-  Contratar la modernización tecnológica de la Plataforma de Gestión Contractual (PGC), con el fin de fortalecer su uso y apropiación a nivel distrital. "/>
        <s v="EMPRESTITO - Fortalecimiento de la Plataforma Tecnológica de la Alcaldía de Santiago de Cali- Implementar soluciones tecnológicas para modernizar la infraestructura de la entidad, optimizar la gestión de bases de datos y sistemas de información, garantizar la seguridad informática, fortalecer los sistemas de recuperación ante desastres y respaldo de información On-Premise para la Alcaldía del Distrito Especial de Santiago de Cali."/>
        <s v="REALIZAR LAS ADECUACIONES DE CANCHAS MULTIPLES, JUEGOS INFANTILES Y CANCHA SINTETICA DE LOS ESCENARIOS Y ESPACIOS  DEPORTIVOS PRIORIZADOS  DEL DISTRITO ESPECIAL DE SANTIAGO DE CALI, CON RECURSOS DEL EMPRESTITO._x000a_"/>
        <s v="REALIZAR LA INTERVENTORIA INTEGRAL: TECNICA, ADMINISTRATIVA, FINANCIERA, JURIDICA, SOCIAL Y AMBIENTAL AL CONTRATO DE OBRA DERIVADO DEL PROCESO  DE EMPRESTITO LICITACION #1 CUYO OBJETO ES  &quot;REALIZAR  MANTENIMIENTO DE CANCHAS MULTIPLES Y CANCHAS SINTETICAS DE LOS ESCENARIOS Y ESPACIOS  DEPORTIVOS PRIORIZADOS  DEL DISTRITO ESPECIAL DE SANTIAGO DE CALI, CON RECURSOS DEL EMPRESTITO&quot;."/>
        <s v="REALIZAR  MANTENIMIENTO DE CANCHAS MULTIPLES Y CANCHAS SINTETICAS DE LOS ESCENARIOS Y ESPACIOS  DEPORTIVOS PRIORIZADOS  DEL DISTRITO ESPECIAL DE SANTIAGO DE CALI, CON RECURSOS DEL EMPRESTITO."/>
        <s v="EMPRESTITO - &quot;MEJORAMIENTO A LA INFRAESTRUCTURA FÍSICA DE LAS SEDES EDUCATIVAS OFICIALES PARA LAS VIGENCIAS 2024-2028 EN SANTIAGO DE CALI&quot;  - EJECUTAR POR EL SISTEMA DE PRECIOS UNITARIOS FIJOS, SIN FÓRMULA DE REAJUSTE LA CONSTRUCCIÓN DE OBRAS PARA LA ADECUACIÓN DE LAS SIGUIENTES SEDES EDUCATIVAS OFICIALES: IEO LUIS FERNANDO CAICEDO SEDE PRINCIPAL – COM. 1, IEO VEINTE DE JULIO SEDE CRISTINA SERRANO – COM. 4, IEO SANTA FE SEDE ESTADO DE PUERTO RICO – COM. 8, IEO JUAN DE AMPUDIA SEDE ONCE DE NOVIEMBRE – COM. 8, IEO CARLOS HOLGUIN LLOREDA SEDE SANTA ELENA – COM. 10, IEO POLITECNICO MUNICIPAL SEDE JHON F KENNEDY – COM. 18, IEO BOYACA SEDE LA INDEPENDENCIA – COM. 11, IEO VIVAS BALCAZAR SEDE SANTO DOMINGO – COM. 10, IEO CARLOS HOLGUIN MALLARINO SEDE MIGUEL DE POMBO – COM. 15, IEO ISAIAS GAMBOA SEDE PRINCIPAL – COM. 1, IEO LICEO DEPARTAMENTAL SEDE LA GRAN COLOMBIA – COM. 19, IEO EUSTAQUIO PALACIOS SEDE MANUEL MARIA BUENAVENTURA – COM. 20, IEO LOS ANDES JUAN PABLO I -  CORREG. LOS ANDES, IEO FELIDIA SEDE CRISTOBAL COLON – CORREG. FELIDIA, IEO SIMON RODRIGUEZ SEDE MARIA PANESSO – COM. 5, IEO DESEPAZ SEDE PRINCIPAL – COM. 21, IEO FELIDIA SEDE REPUBLICA DE CUBA – CORREG. FELIDIA, IEO RAFAEL NAVIA VARON SEDE PRINCIPAL – COM. 10, IEO VILLA COLOMBIA SEDE SANTISIMA TRINIDAD – COM. 8, IEO LA BUITRERA SEDE SAN GABRIEL – CORREG. LA BUITRERA."/>
        <s v="Mediante el presente EL PRESTAMISTA se obliga a otorgar a EL PRESTATARIO un Empréstito Interno y de pignoración de rentas hasta por la suma de DOSCIENTOS CINCUENTA MIL MILLONES DE PESOS ($250.000.000.000) MONEDA LEGAL COLOMBIANA. EL PRESTATARIO se obliga a destinar los recursos provenientes de este Contrato de Empréstito interno y de pignoración de rentas para financiar proyectos del Plan de Desarrollo del Distrito Especial de Santiago de Cali “CALI, CAPITAL PACIFICA DE COLOMBIA” 2024 – 2027"/>
        <s v="Mediante el presente contrato EL PRESTAMISTA se obliga a otorgar a EL PRESTATARIO un Empréstito Interno y de pignoración de rentas hasta por la suma de CINCUENTA Y CUATRO MIL OCHOCIENTOS CINCUENTA Y TRES MILLONES TRESCIENTOS VEINTINUEVE MIL TRESCIENTOS OCHENTA Y TRES PESOS MONEDA LEGAL COLOMBIANA ($54.853.329.383). EL PRESTATARIO se obliga a destinar los recursos provenientes de este Contrato de Empréstito interno y de pignoración de rentas para pagar de manera anticipada la deuda contenida en el contrato de empréstito No. 4131.010.26.1.1817 del 2021 suscrito con el banco DAVIVIENDA S.A. "/>
        <s v="Realizar obras de estabilización y construcción de muros de contención en el Distrito de Santiago de Cali zona urbana "/>
        <s v="EMPRESTITO - ADQUIRIR MAQUINARIA AMARILLA, VEHICULOS PESADOS Y EQUIPOS ESPECIALIZADOS PARA REALIZAR EL MANTENIMIENTO, REHABILITACIÓN, MEJORAMIENTO Y RECUPERACIÓN DE LA INFRAESTRUCTURA VIAL "/>
        <s v="EMPRESTITO  - Realizar interventoría integral a obras de mantenimiento vía, obras de drenaje y estabilización de terrenos en zona rural y urbana de la ciudad de Santiago de Cali "/>
        <s v="EMPRÉSTITO - Realizar obras de mantenimiento de vías incluyendo ciclo infraestructura y mejoramiento para la infraestructura vial del Distrito de Santiago de Cali"/>
        <s v="EMPRESTITO - Realizar la construcción y mantenimiento de ciclo infraestructura en el Distrito"/>
        <s v="EMPRESTITO-Realizar el mantenimiento preventivo y correctivo de los equipamientos institucionales del Distrito Especial de Santiago de Cali: Centros de Administración Local Integrada en la comuna 19, bajo el sistema de precios unitarios fijos sin fórmula de reajuste, correspondiente al proyecto BP-26005393"/>
        <s v="Emprestito- Realizar el mantenimiento preventivo y correctivo de los equipamientos institucionales del Distrito Especial de Santiago de Cali: Centros de Administración Local Integrada (CALI) de las comunas 12, 13, 18 y 20, bajo el sistema de precios unitarios fijos sin fórmula de reajuste, correspondiente al proyecto BP-26005393."/>
        <s v="EMPRESTITO: Realizar el mantenimiento preventivo y correctivo de los equipamientos institucionales del Distrito Especial de Santiago de Cali: Centros de Administración Local Integrada (CALI) de las comunas 3, 9, 17, 21 y 22, bajo el sistema de precios unitarios fijos sin fórmula de reajuste, correspondiente al proyecto BP-26005393."/>
      </sharedItems>
    </cacheField>
    <cacheField name="VIGENCIA" numFmtId="0">
      <sharedItems containsSemiMixedTypes="0" containsString="0" containsNumber="1" containsInteger="1" minValue="2025" maxValue="2025"/>
    </cacheField>
    <cacheField name="FECHA INICIO" numFmtId="0">
      <sharedItems/>
    </cacheField>
    <cacheField name="FECHA OFERTA" numFmtId="0">
      <sharedItems/>
    </cacheField>
    <cacheField name="DURACION VALOR" numFmtId="0">
      <sharedItems containsSemiMixedTypes="0" containsString="0" containsNumber="1" containsInteger="1" minValue="1" maxValue="195"/>
    </cacheField>
    <cacheField name="DURACION INTERVALO" numFmtId="0">
      <sharedItems/>
    </cacheField>
    <cacheField name="MODALIDAD" numFmtId="0">
      <sharedItems/>
    </cacheField>
    <cacheField name="FUENTE RECURSOS" numFmtId="0">
      <sharedItems/>
    </cacheField>
    <cacheField name="FUENTE RECURSOS-VALOR" numFmtId="0">
      <sharedItems/>
    </cacheField>
    <cacheField name="ELEMENTO PEP" numFmtId="0">
      <sharedItems containsBlank="1"/>
    </cacheField>
    <cacheField name="DESCRIPCION ELEMENTO PEP" numFmtId="0">
      <sharedItems containsBlank="1" count="15">
        <m/>
        <s v="Realizar interventoría a las intervenciones de la infraestructura"/>
        <s v="Realizar mantenimiento a los equipamientos culturales del territorio 2"/>
        <s v="Realizar el soporte, mantenimiento y actualización del software"/>
        <s v="Adquirir equipos tecnológicos para el centro de datos de la Administración"/>
        <s v="Realizar adecuaciones a la infraestructura deportiva dde los escenarios deportivos y recreativos"/>
        <s v=" Realizar interventoría de los procesos de mantenimiento de la infraestructura deportiva y recreativa de los escenarios"/>
        <s v="Realizar mantenimiento a la infraestructura deportiva de los escenarios deportivos y recreativos"/>
        <s v="Realizar obras de adecuación en Sedes Educativas Oficiales"/>
        <s v="Realizar obras de infraestructura hidráulica en la zona urbana del Distrito de Santiago de Cali"/>
        <s v="Adquisición de herramienta menor para labores de intervención de demolición y despeje en zonas afectadas por asentamientos en el Plan Jarillón"/>
        <s v="Realizar interventoría del mantenimiento de ciclo infraestructura."/>
        <s v="Realizar el mantenimiento periódico y/o rutinario de las vías urbanas del Distrito"/>
        <s v="Realizar mantenimiento de ciclo infraestructura en el Distrito"/>
        <s v="Realizar mantenimiento preventivo y correctivo a los Centros de Administración Local Integrada"/>
      </sharedItems>
    </cacheField>
    <cacheField name="POSPRE" numFmtId="0">
      <sharedItems containsBlank="1"/>
    </cacheField>
    <cacheField name="NOMBRE POSPRE" numFmtId="0">
      <sharedItems containsNonDate="0" containsString="0" containsBlank="1"/>
    </cacheField>
    <cacheField name="VALOR ACTIVIDAD" numFmtId="0">
      <sharedItems containsMixedTypes="1" containsNumber="1" containsInteger="1" minValue="52123033" maxValue="34479542892"/>
    </cacheField>
    <cacheField name="VALOR DISPONIBLE" numFmtId="0">
      <sharedItems containsMixedTypes="1" containsNumber="1" containsInteger="1" minValue="0" maxValue="8391322217"/>
    </cacheField>
    <cacheField name="VALOR APROPIADO" numFmtId="0">
      <sharedItems containsMixedTypes="1" containsNumber="1" containsInteger="1" minValue="52123033" maxValue="31983588192"/>
    </cacheField>
    <cacheField name="VALOR TOTAL ESTIMADO" numFmtId="0">
      <sharedItems containsSemiMixedTypes="0" containsString="0" containsNumber="1" containsInteger="1" minValue="0" maxValue="76024472789"/>
    </cacheField>
    <cacheField name="VALOR VIGENCIA ACTUAL" numFmtId="0">
      <sharedItems containsSemiMixedTypes="0" containsString="0" containsNumber="1" containsInteger="1" minValue="0" maxValue="76024472789"/>
    </cacheField>
    <cacheField name="VIGENCIAS FUTURAS" numFmtId="0">
      <sharedItems/>
    </cacheField>
    <cacheField name="ESTADO VIGENCIAS" numFmtId="0">
      <sharedItems/>
    </cacheField>
    <cacheField name="ID" numFmtId="0">
      <sharedItems containsSemiMixedTypes="0" containsString="0" containsNumber="1" containsInteger="1" minValue="18472" maxValue="19385" count="20">
        <n v="19333"/>
        <n v="18890"/>
        <n v="18889"/>
        <n v="18946"/>
        <n v="18933"/>
        <n v="18918"/>
        <n v="19000"/>
        <n v="18998"/>
        <n v="18996"/>
        <n v="18910"/>
        <n v="19385"/>
        <n v="19124"/>
        <n v="19194"/>
        <n v="19143"/>
        <n v="18984"/>
        <n v="18978"/>
        <n v="18472"/>
        <n v="19383"/>
        <n v="18986"/>
        <n v="18970"/>
      </sharedItems>
    </cacheField>
    <cacheField name="TIPO DE SOLICITUD" numFmtId="0">
      <sharedItems/>
    </cacheField>
    <cacheField name="CATEGORIA" numFmtId="0">
      <sharedItems/>
    </cacheField>
    <cacheField name="SUBCATEGORIA" numFmtId="0">
      <sharedItems/>
    </cacheField>
    <cacheField name="INCLUSION SOCIAL" numFmtId="0">
      <sharedItems/>
    </cacheField>
    <cacheField name="ID PAA" numFmtId="0">
      <sharedItems containsSemiMixedTypes="0" containsString="0" containsNumber="1" containsInteger="1" minValue="1449" maxValue="1449"/>
    </cacheField>
    <cacheField name="ESTADO" numFmtId="0">
      <sharedItems/>
    </cacheField>
    <cacheField name="FUENTE RECURSOS FINAL" numFmtId="0">
      <sharedItems/>
    </cacheField>
    <cacheField name="FUNCIONAMIENTO REAL ESTIMADO" numFmtId="0">
      <sharedItems containsSemiMixedTypes="0" containsString="0" containsNumber="1" containsInteger="1" minValue="0" maxValue="0"/>
    </cacheField>
    <cacheField name="INVERSIÓN REAL ESTIMADO" numFmtId="0">
      <sharedItems containsSemiMixedTypes="0" containsString="0" containsNumber="1" containsInteger="1" minValue="0" maxValue="76024472789"/>
    </cacheField>
    <cacheField name="NÚMERO MODIFICACIONES" numFmtId="0">
      <sharedItems containsString="0" containsBlank="1" containsNumber="1" containsInteger="1" minValue="1" maxValue="3"/>
    </cacheField>
    <cacheField name="TIENE PROCESO" numFmtId="0">
      <sharedItems/>
    </cacheField>
    <cacheField name="TIPO DE PLATAFORMA" numFmtId="0">
      <sharedItems/>
    </cacheField>
    <cacheField name="LINK DEL PROCESO" numFmtId="0">
      <sharedItems count="20" longText="1">
        <s v="https://www.contratos.gov.co/consultas/detalleProceso.do?numConstancia=25-22-109595&amp;g-recaptcha-response=03AFcWeA6Jo0uu7FkMnhVnSILXiPbwwC5keNwm2YC4DSbg5QeqBxNurZSYicBjeYV2Q3smwxo5UFrc8ITMe-oYsPietEnxhV051A46WXjKHH1GA3riahhegEa_-pa7RfbJLuQ9W-XTsLguNU0zj3hgJlAf_z5t743kA5kdKfm13WNNeTP_himLigphJ-UYddoYoIk0-GsgEjDM9z_WmTztOukDVEY2ZoBppyRdEj1JU82VmauSJkkibbzE45NZu2cvGvdL8A8vanDq3_wZu-mlU5DdlvbAY940A2L6jWNOdoCIabYMhCJlIvYQkxEE5HLpa_hk84bX6uTNXEER3zUvgZAyTOnbNvQxgyeosAnxrVECwn05CHxYng9YHZ30Jgs8vqNrjHozZ"/>
        <s v="https://www.secop.gov.co/CO1BusinessLine/Tendering/ContractNoticeView/Index?prevCtxLbl=Buscar+procesos&amp;prevCtxUrl=https%3a%2f%2fwww.secop.gov.co%3a443%2fCO1BusinessLine%2fTendering%2fContractNoticeManagement%2fIndex&amp;notice=CO1.NTC.8533589"/>
        <s v="https://community.secop.gov.co/Public/Tendering/OpportunityDetail/Index?noticeUID=CO1.NTC.8352924"/>
        <s v="https://www.secop.gov.co/CO1BusinessLine/Tendering/ContractNoticeView/Index?prevCtxLbl=Buscar+procesos&amp;prevCtxUrl=https%3a%2f%2fwww.secop.gov.co%3a443%2fCO1BusinessLine%2fTendering%2fContractNoticeManagement%2fIndex&amp;notice=CO1.NTC.8536225"/>
        <s v="https://community.secop.gov.co/Public/Tendering/OpportunityDetail/Index?noticeUID=CO1.NTC.8441712&amp;isFromPublicArea=True&amp;isModal=False"/>
        <s v="https://www.secop.gov.co/CO1BusinessLine/Tendering/ContractNoticeView/Index?prevCtxLbl=Buscar+procesos&amp;prevCtxUrl=https%3a%2f%2fwww.secop.gov.co%3a443%2fCO1BusinessLine%2fTendering%2fContractNoticeManagement%2fIndex&amp;notice=CO1.NTC.8547026"/>
        <s v="https://community.secop.gov.co/Public/Tendering/OpportunityDetail/Index?noticeUID=CO1.NTC.8427829"/>
        <s v="https://community.secop.gov.co/Public/Tendering/OpportunityDetail/Index?noticeUID=CO1.NTC.8455068"/>
        <s v="https://www.secop.gov.co/CO1BusinessLine/Tendering/ContractNoticeView/Index?prevCtxLbl=Buscar+procesos&amp;prevCtxUrl=https%3a%2f%2fwww.secop.gov.co%3a443%2fCO1BusinessLine%2fTendering%2fContractNoticeManagement%2fIndex&amp;notice=CO1.NTC.8351748"/>
        <s v="https://www.secop.gov.co/CO1BusinessLine/Tendering/ContractNoticeView/Index?prevCtxLbl=Buscar+procesos&amp;prevCtxUrl=https%3a%2f%2fwww.secop.gov.co%3a443%2fCO1BusinessLine%2fTendering%2fContractNoticeManagement%2fIndex&amp;notice=CO1.NTC.8552731"/>
        <s v="https://www.secop.gov.co/CO1BusinessLine/Tendering/ContractNoticeView/Index?prevCtxLbl=Buscar+procesos&amp;prevCtxUrl=https%3a%2f%2fwww.secop.gov.co%3a443%2fCO1BusinessLine%2fTendering%2fContractNoticeManagement%2fIndex&amp;notice=CO1.NTC.8534561"/>
        <s v="https://community.secop.gov.co/Public/Tendering/OpportunityDetail/Index?noticeUID=CO1.NTC.8350763"/>
        <s v="https://www.secop.gov.co/CO1BusinessLine/Tendering/ContractNoticeView/Index?prevCtxLbl=Buscar+procesos&amp;prevCtxUrl=https%3a%2f%2fwww.secop.gov.co%3a443%2fCO1BusinessLine%2fTendering%2fContractNoticeManagement%2fIndex&amp;notice=CO1.NTC.8534771"/>
        <s v="https://www.secop.gov.co/CO1BusinessLine/Tendering/ContractNoticeView/Index?prevCtxLbl=Buscar+procesos&amp;prevCtxUrl=https%3a%2f%2fwww.secop.gov.co%3a443%2fCO1BusinessLine%2fTendering%2fContractNoticeManagement%2fIndex&amp;notice=CO1.NTC.8430025"/>
        <s v="https://www.secop.gov.co/CO1BusinessLine/Tendering/ContractNoticeView/Index?prevCtxLbl=Buscar+procesos&amp;prevCtxUrl=https%3a%2f%2fwww.secop.gov.co%3a443%2fCO1BusinessLine%2fTendering%2fContractNoticeManagement%2fIndex&amp;notice=CO1.NTC.8505732"/>
        <s v="https://community.secop.gov.co/Public/Tendering/OpportunityDetail/Index?noticeUID=CO1.NTC.8357715&amp;isFromPublicArea=True&amp;isModal=False"/>
        <s v="https://community.secop.gov.co/Public/Tendering/OpportunityDetail/Index?noticeUID=CO1.NTC.8358720&amp;isFromPublicArea=True&amp;isModal=False"/>
        <s v="https://www.secop.gov.co/CO1BusinessLine/Tendering/ContractNoticeView/Index?prevCtxLbl=Buscar+procesos&amp;prevCtxUrl=https%3a%2f%2fwww.secop.gov.co%3a443%2fCO1BusinessLine%2fTendering%2fContractNoticeManagement%2fIndex&amp;notice=CO1.NTC.8534787"/>
        <s v="https://www.secop.gov.co/CO1BusinessLine/Tendering/ContractNoticeView/Index?prevCtxLbl=Buscar+procesos&amp;prevCtxUrl=https%3a%2f%2fwww.secop.gov.co%3a443%2fCO1BusinessLine%2fTendering%2fContractNoticeManagement%2fIndex&amp;notice=CO1.NTC.8360159"/>
        <s v="https://www.secop.gov.co/CO1BusinessLine/Tendering/ContractNoticeView/Index?prevCtxLbl=Buscar+procesos&amp;prevCtxUrl=https%3a%2f%2fwww.secop.gov.co%3a443%2fCO1BusinessLine%2fTendering%2fContractNoticeManagement%2fIndex&amp;notice=CO1.NTC.8361856"/>
      </sharedItems>
    </cacheField>
    <cacheField name="VENCIDA" numFmtId="0">
      <sharedItems containsNonDate="0" containsString="0" containsBlank="1"/>
    </cacheField>
    <cacheField name="JUSTIFICACIÓN VENCIDA" numFmtId="0">
      <sharedItems containsBlank="1"/>
    </cacheField>
    <cacheField name="NOMBRE ABREVIADO" numFmtId="0">
      <sharedItems count="8">
        <s v="Bienes y Servicios"/>
        <s v="Cultura"/>
        <s v="DATIC"/>
        <s v="Deporte"/>
        <s v="Educación"/>
        <s v="Hacienda"/>
        <s v="Infraestructura"/>
        <s v="Participación"/>
      </sharedItems>
    </cacheField>
    <cacheField name="FECHA DE FIRMA DE CONTRATO" numFmtId="0">
      <sharedItems containsNonDate="0" containsDate="1" containsString="0" containsBlank="1" minDate="2025-06-27T00:00:00" maxDate="2025-06-28T00:00:00"/>
    </cacheField>
    <cacheField name="FONDO" numFmtId="0">
      <sharedItems/>
    </cacheField>
    <cacheField name="PRESUPUESTO PARTICIPATIVO" numFmtId="0">
      <sharedItems containsNonDate="0" containsString="0" containsBlank="1"/>
    </cacheField>
    <cacheField name="ORIGEN" numFmtId="0">
      <sharedItems containsNonDate="0" containsString="0" containsBlank="1"/>
    </cacheField>
    <cacheField name="COMUNA" numFmtId="0">
      <sharedItems containsNonDate="0" containsString="0" containsBlank="1"/>
    </cacheField>
    <cacheField name="PROYECTO" numFmtId="0">
      <sharedItems containsNonDate="0" containsString="0" containsBlank="1"/>
    </cacheField>
    <cacheField name="PPTO. DISPONIBLE" numFmtId="0">
      <sharedItems containsString="0" containsBlank="1" containsNumber="1" containsInteger="1" minValue="0" maxValue="1102873861"/>
    </cacheField>
    <cacheField name="RPC" numFmtId="0">
      <sharedItems containsNonDate="0" containsString="0" containsBlank="1"/>
    </cacheField>
    <cacheField name="DELEGACIONES" numFmtId="0">
      <sharedItems containsNonDate="0" containsString="0" containsBlank="1"/>
    </cacheField>
    <cacheField name="ELEMENTO PEP 2" numFmtId="0">
      <sharedItems/>
    </cacheField>
    <cacheField name="LLAVE" numFmtId="0">
      <sharedItems/>
    </cacheField>
    <cacheField name="CDP BLOQUEADO" numFmtId="0">
      <sharedItems containsNonDate="0" containsString="0" containsBlank="1"/>
    </cacheField>
    <cacheField name="EMPRÉSTITO" numFmtId="0">
      <sharedItems/>
    </cacheField>
    <cacheField name="DELEGACIONES_1" numFmtId="0">
      <sharedItems containsSemiMixedTypes="0" containsString="0" containsNumber="1" containsInteger="1" minValue="0" maxValue="1"/>
    </cacheField>
    <cacheField name="DELEGACIONES_2"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x v="0"/>
    <x v="0"/>
    <x v="0"/>
    <x v="0"/>
    <x v="0"/>
    <m/>
    <m/>
    <n v="2739525691"/>
    <x v="0"/>
    <x v="0"/>
    <s v="SI"/>
    <x v="0"/>
    <x v="0"/>
    <m/>
    <x v="0"/>
    <x v="0"/>
    <x v="0"/>
    <m/>
    <x v="0"/>
    <x v="0"/>
    <x v="0"/>
    <m/>
    <m/>
    <m/>
    <m/>
    <m/>
    <m/>
    <m/>
    <m/>
    <x v="0"/>
    <d v="2025-10-16T00:00:00"/>
    <d v="2026-03-31T00:00:00"/>
    <s v="Contra factura"/>
    <n v="0"/>
    <m/>
    <m/>
    <m/>
    <m/>
    <m/>
    <m/>
    <m/>
    <m/>
    <n v="0"/>
    <n v="642202452"/>
    <n v="0.24999999990267865"/>
    <n v="642202452"/>
    <m/>
    <n v="0"/>
    <m/>
    <n v="0"/>
    <n v="1926607357"/>
    <n v="0.75000000009732137"/>
    <m/>
    <m/>
    <n v="1926607357"/>
    <n v="2568809809"/>
    <m/>
    <n v="2568809809"/>
    <b v="0"/>
    <b v="0"/>
  </r>
  <r>
    <x v="0"/>
    <x v="0"/>
    <x v="0"/>
    <x v="0"/>
    <x v="1"/>
    <m/>
    <m/>
    <n v="160474309"/>
    <x v="1"/>
    <x v="1"/>
    <s v="SI"/>
    <x v="0"/>
    <x v="0"/>
    <m/>
    <x v="0"/>
    <x v="0"/>
    <x v="0"/>
    <m/>
    <x v="0"/>
    <x v="0"/>
    <x v="0"/>
    <m/>
    <m/>
    <m/>
    <m/>
    <m/>
    <m/>
    <m/>
    <m/>
    <x v="0"/>
    <d v="2025-10-16T00:00:00"/>
    <d v="2026-03-31T00:00:00"/>
    <s v="Contra factura"/>
    <n v="0"/>
    <m/>
    <m/>
    <m/>
    <m/>
    <m/>
    <m/>
    <m/>
    <m/>
    <m/>
    <n v="82797548"/>
    <m/>
    <n v="82797548"/>
    <m/>
    <m/>
    <m/>
    <m/>
    <n v="248392643"/>
    <m/>
    <m/>
    <m/>
    <n v="248392643"/>
    <n v="331190191"/>
    <m/>
    <n v="331190191"/>
    <b v="0"/>
    <b v="0"/>
  </r>
  <r>
    <x v="0"/>
    <x v="1"/>
    <x v="1"/>
    <x v="1"/>
    <x v="2"/>
    <n v="5700377800"/>
    <m/>
    <n v="5757381578"/>
    <x v="0"/>
    <x v="2"/>
    <m/>
    <x v="1"/>
    <x v="0"/>
    <s v="Licitación Pública"/>
    <x v="1"/>
    <x v="0"/>
    <x v="0"/>
    <s v="si"/>
    <x v="1"/>
    <x v="1"/>
    <x v="1"/>
    <s v="Janeisy Katina Riascos"/>
    <s v="si"/>
    <m/>
    <m/>
    <m/>
    <d v="2025-05-28T00:00:00"/>
    <m/>
    <d v="2025-06-12T00:00:00"/>
    <x v="1"/>
    <d v="2025-09-10T00:00:00"/>
    <d v="2026-03-01T00:00:00"/>
    <s v="Actas parciales"/>
    <m/>
    <m/>
    <m/>
    <m/>
    <m/>
    <m/>
    <n v="1750000000"/>
    <n v="0.35"/>
    <n v="1250000000"/>
    <n v="0.25"/>
    <n v="1250000000"/>
    <n v="0.25"/>
    <n v="4902324908"/>
    <m/>
    <m/>
    <m/>
    <m/>
    <n v="750000000"/>
    <n v="0.15"/>
    <m/>
    <m/>
    <n v="855056670"/>
    <n v="5757381578"/>
    <m/>
    <n v="5757381578"/>
    <b v="1"/>
    <b v="1"/>
  </r>
  <r>
    <x v="0"/>
    <x v="1"/>
    <x v="1"/>
    <x v="1"/>
    <x v="3"/>
    <m/>
    <n v="599955458"/>
    <n v="599955458"/>
    <x v="2"/>
    <x v="3"/>
    <m/>
    <x v="1"/>
    <x v="0"/>
    <s v="Concurso de Méritos Abierto"/>
    <x v="2"/>
    <x v="0"/>
    <x v="0"/>
    <m/>
    <x v="0"/>
    <x v="2"/>
    <x v="0"/>
    <m/>
    <m/>
    <m/>
    <m/>
    <m/>
    <m/>
    <m/>
    <m/>
    <x v="2"/>
    <d v="2025-09-10T00:00:00"/>
    <d v="2026-02-01T00:00:00"/>
    <s v="Actas parciales"/>
    <m/>
    <m/>
    <m/>
    <m/>
    <m/>
    <m/>
    <n v="209984410.29999998"/>
    <n v="0.35"/>
    <n v="149988864.5"/>
    <n v="0.25"/>
    <n v="149988864.5"/>
    <m/>
    <n v="509962139.29999995"/>
    <m/>
    <m/>
    <m/>
    <m/>
    <n v="89993318.700000003"/>
    <n v="0.15"/>
    <m/>
    <m/>
    <n v="89993318.700000003"/>
    <n v="599955458"/>
    <m/>
    <n v="599955458"/>
    <b v="1"/>
    <b v="1"/>
  </r>
  <r>
    <x v="0"/>
    <x v="2"/>
    <x v="2"/>
    <x v="2"/>
    <x v="4"/>
    <m/>
    <m/>
    <n v="260000000"/>
    <x v="3"/>
    <x v="4"/>
    <m/>
    <x v="2"/>
    <x v="0"/>
    <s v="Selección abreviada Menor Cuantia"/>
    <x v="2"/>
    <x v="1"/>
    <x v="0"/>
    <m/>
    <x v="0"/>
    <x v="2"/>
    <x v="0"/>
    <m/>
    <m/>
    <m/>
    <m/>
    <m/>
    <m/>
    <m/>
    <m/>
    <x v="1"/>
    <d v="2025-09-08T00:00:00"/>
    <d v="2025-12-15T00:00:00"/>
    <s v="50% contra aprobación de pruebas,  25% Despliegue en productivo, 25% uso y apropiación"/>
    <n v="0"/>
    <m/>
    <m/>
    <m/>
    <n v="130000000"/>
    <n v="0.5"/>
    <n v="65000000"/>
    <n v="0.25"/>
    <n v="65000000"/>
    <n v="0.25"/>
    <m/>
    <m/>
    <n v="260000000"/>
    <m/>
    <m/>
    <m/>
    <m/>
    <m/>
    <m/>
    <m/>
    <m/>
    <n v="0"/>
    <n v="260000000"/>
    <m/>
    <n v="260000000"/>
    <b v="1"/>
    <b v="1"/>
  </r>
  <r>
    <x v="0"/>
    <x v="2"/>
    <x v="2"/>
    <x v="2"/>
    <x v="5"/>
    <m/>
    <m/>
    <n v="500000000"/>
    <x v="4"/>
    <x v="5"/>
    <s v="SI"/>
    <x v="0"/>
    <x v="0"/>
    <m/>
    <x v="0"/>
    <x v="1"/>
    <x v="0"/>
    <m/>
    <x v="0"/>
    <x v="2"/>
    <x v="0"/>
    <m/>
    <m/>
    <m/>
    <m/>
    <m/>
    <m/>
    <m/>
    <m/>
    <x v="2"/>
    <d v="2025-08-22T00:00:00"/>
    <d v="2025-12-30T00:00:00"/>
    <s v="50% contra aprobación de pruebas, 50%  despliegue en productivo en conjunto con el uso y aprobación"/>
    <n v="0"/>
    <m/>
    <m/>
    <m/>
    <n v="250000000"/>
    <n v="0.5"/>
    <m/>
    <m/>
    <m/>
    <m/>
    <n v="250000000"/>
    <n v="0.5"/>
    <n v="500000000"/>
    <m/>
    <m/>
    <m/>
    <m/>
    <m/>
    <m/>
    <m/>
    <m/>
    <n v="0"/>
    <n v="500000000"/>
    <m/>
    <n v="500000000"/>
    <b v="1"/>
    <b v="1"/>
  </r>
  <r>
    <x v="0"/>
    <x v="2"/>
    <x v="2"/>
    <x v="2"/>
    <x v="6"/>
    <m/>
    <m/>
    <n v="824287971"/>
    <x v="2"/>
    <x v="6"/>
    <m/>
    <x v="3"/>
    <x v="0"/>
    <s v="Concurso de Méritos"/>
    <x v="2"/>
    <x v="1"/>
    <x v="0"/>
    <m/>
    <x v="0"/>
    <x v="2"/>
    <x v="0"/>
    <m/>
    <m/>
    <m/>
    <m/>
    <m/>
    <m/>
    <m/>
    <m/>
    <x v="0"/>
    <d v="2025-10-23T00:00:00"/>
    <d v="2025-12-30T00:00:00"/>
    <s v="40% Contra entrega de equipos a los dos mes de iniciado el contrato, 30% por avance, 30% finalizar"/>
    <n v="0"/>
    <m/>
    <m/>
    <m/>
    <n v="329715188.36000007"/>
    <n v="0.4"/>
    <n v="247286391.27000001"/>
    <n v="0.3"/>
    <m/>
    <m/>
    <n v="247286391.27000001"/>
    <n v="0.3"/>
    <n v="824287970.9000001"/>
    <m/>
    <m/>
    <m/>
    <m/>
    <m/>
    <m/>
    <m/>
    <m/>
    <n v="0"/>
    <n v="824287970.9000001"/>
    <m/>
    <n v="824287970.9000001"/>
    <b v="0"/>
    <b v="0"/>
  </r>
  <r>
    <x v="0"/>
    <x v="2"/>
    <x v="2"/>
    <x v="2"/>
    <x v="7"/>
    <m/>
    <m/>
    <n v="5000000000"/>
    <x v="5"/>
    <x v="7"/>
    <m/>
    <x v="2"/>
    <x v="0"/>
    <s v="Selección Abreviada Acuerdo Marco de Precios "/>
    <x v="1"/>
    <x v="1"/>
    <x v="1"/>
    <s v="13/05/2025_x000a_27/05/2025"/>
    <x v="1"/>
    <x v="2"/>
    <x v="2"/>
    <s v="Janeisy Katina Riascos"/>
    <s v="202541340100005354_x000a_202541340100005964"/>
    <s v="20/may/2025 mesa de trabajo con DATIC con las obsrevacione, DATIC  _x000a_ 22/may/2025 Todas fueron devueltas a DATIC  para que contextualizaran el marco del proyecto de inversión"/>
    <s v="Enviado para ajustes"/>
    <s v="x"/>
    <m/>
    <m/>
    <m/>
    <x v="0"/>
    <d v="2025-09-20T00:00:00"/>
    <d v="2025-12-30T00:00:00"/>
    <s v="Un solo pago despues de entregado el producto"/>
    <n v="0"/>
    <m/>
    <m/>
    <m/>
    <n v="5000000000"/>
    <n v="1"/>
    <m/>
    <m/>
    <m/>
    <m/>
    <m/>
    <m/>
    <n v="5000000000"/>
    <m/>
    <m/>
    <m/>
    <m/>
    <m/>
    <m/>
    <m/>
    <m/>
    <n v="0"/>
    <n v="5000000000"/>
    <m/>
    <n v="5000000000"/>
    <b v="1"/>
    <b v="1"/>
  </r>
  <r>
    <x v="0"/>
    <x v="2"/>
    <x v="2"/>
    <x v="2"/>
    <x v="8"/>
    <m/>
    <m/>
    <n v="5120000000"/>
    <x v="6"/>
    <x v="8"/>
    <m/>
    <x v="2"/>
    <x v="0"/>
    <s v="Licitación Pública"/>
    <x v="1"/>
    <x v="1"/>
    <x v="1"/>
    <s v="19/05/2025_x000a_23/05/2025"/>
    <x v="2"/>
    <x v="2"/>
    <x v="3"/>
    <s v="Janeisy Katina Riascos"/>
    <s v="202541340100005054_x000a_202541340100005824      "/>
    <s v="20/may/2025 mesa de trabajo con DATIC con las obsrevacione, DATIC  _x000a_ 22/may/2025 Todas fueron devueltas a DATIC  para que contextualizaran el marco del proyecto de inversión"/>
    <s v="Enviado para ajustes"/>
    <s v="x"/>
    <m/>
    <m/>
    <m/>
    <x v="0"/>
    <d v="2025-08-13T00:00:00"/>
    <d v="2026-03-30T00:00:00"/>
    <s v="Un solo pago despues de entregado el producto"/>
    <n v="0"/>
    <m/>
    <m/>
    <m/>
    <n v="5120000000"/>
    <n v="1"/>
    <m/>
    <m/>
    <m/>
    <m/>
    <m/>
    <m/>
    <n v="5120000000"/>
    <m/>
    <m/>
    <m/>
    <m/>
    <m/>
    <m/>
    <m/>
    <m/>
    <n v="0"/>
    <n v="5120000000"/>
    <m/>
    <n v="5120000000"/>
    <b v="1"/>
    <b v="1"/>
  </r>
  <r>
    <x v="0"/>
    <x v="2"/>
    <x v="2"/>
    <x v="2"/>
    <x v="9"/>
    <m/>
    <m/>
    <n v="10820000000"/>
    <x v="5"/>
    <x v="9"/>
    <m/>
    <x v="2"/>
    <x v="0"/>
    <s v="Licitación Pública"/>
    <x v="1"/>
    <x v="0"/>
    <x v="1"/>
    <d v="2025-05-13T00:00:00"/>
    <x v="3"/>
    <x v="2"/>
    <x v="4"/>
    <s v="Janeisy Katina Riascos"/>
    <s v="202541340100005514_x000a_202541340100005844"/>
    <s v="20/may/2025 mesa de trabajo con DATIC con las obsrevacione, DATIC  _x000a_ 22/may/2025 Todas fueron devueltas a DATIC  para que contextualizaran el marco del proyecto de inversión"/>
    <s v="Enviado para ajustes"/>
    <s v="x"/>
    <m/>
    <m/>
    <m/>
    <x v="0"/>
    <d v="2025-09-12T00:00:00"/>
    <d v="2026-03-30T00:00:00"/>
    <s v="60% configuración servidores virtuales, 20% avance y 20% finalizar"/>
    <n v="0"/>
    <m/>
    <m/>
    <m/>
    <n v="6492000000"/>
    <n v="0.6"/>
    <m/>
    <m/>
    <m/>
    <m/>
    <n v="2164000000"/>
    <n v="0.2"/>
    <n v="8656000000"/>
    <m/>
    <m/>
    <m/>
    <m/>
    <n v="2164000000"/>
    <n v="0.2"/>
    <m/>
    <m/>
    <n v="2164000000"/>
    <n v="10820000000"/>
    <m/>
    <n v="10820000000"/>
    <b v="1"/>
    <b v="1"/>
  </r>
  <r>
    <x v="0"/>
    <x v="2"/>
    <x v="2"/>
    <x v="2"/>
    <x v="10"/>
    <m/>
    <m/>
    <n v="6720000000"/>
    <x v="7"/>
    <x v="10"/>
    <m/>
    <x v="2"/>
    <x v="0"/>
    <s v="Licitación Pública"/>
    <x v="1"/>
    <x v="1"/>
    <x v="1"/>
    <s v="6/05/2025_x000a_23/05/2025"/>
    <x v="2"/>
    <x v="2"/>
    <x v="3"/>
    <s v="Janeisy Katina Riascos"/>
    <s v="202541340100005054_x000a_202541340100005824"/>
    <s v="20/may/2025 mesa de trabajo con DATIC con las obsrevacione, DATIC  _x000a_ 22/may/2025 Todas fueron devueltas a DATIC  para que contextualizaran el marco del proyecto de inversión"/>
    <s v="Enviado para ajustes"/>
    <s v="x"/>
    <m/>
    <m/>
    <m/>
    <x v="0"/>
    <d v="2025-10-08T00:00:00"/>
    <d v="2026-03-30T00:00:00"/>
    <s v="Un solo pago despues de entregado el producto"/>
    <n v="0"/>
    <m/>
    <m/>
    <m/>
    <n v="6300000000"/>
    <n v="1"/>
    <m/>
    <m/>
    <m/>
    <m/>
    <m/>
    <m/>
    <n v="6720000000"/>
    <m/>
    <m/>
    <m/>
    <m/>
    <m/>
    <m/>
    <m/>
    <m/>
    <n v="0"/>
    <n v="6720000000"/>
    <m/>
    <n v="6720000000"/>
    <b v="1"/>
    <b v="1"/>
  </r>
  <r>
    <x v="0"/>
    <x v="2"/>
    <x v="2"/>
    <x v="2"/>
    <x v="11"/>
    <m/>
    <m/>
    <n v="15661471447"/>
    <x v="7"/>
    <x v="11"/>
    <m/>
    <x v="2"/>
    <x v="0"/>
    <s v="Licitación Pública"/>
    <x v="3"/>
    <x v="1"/>
    <x v="1"/>
    <s v="19/05/2025_x000a_23/05/2025"/>
    <x v="1"/>
    <x v="2"/>
    <x v="2"/>
    <s v="Janeisy Katina Riascos"/>
    <s v="202541340100005054_x000a_202541340100005824"/>
    <s v="20/may/2025 mesa de trabajo con DATIC con las obsrevacione, DATIC  _x000a_ 22/may/2025 Todas fueron devueltas a DATIC  para que contextualizaran el marco del proyecto de inversión"/>
    <s v="Enviado para ajustes"/>
    <s v="x"/>
    <d v="2025-06-19T00:00:00"/>
    <s v="en proceso DACP"/>
    <s v="no se ha apobado"/>
    <x v="2"/>
    <d v="2025-10-14T00:00:00"/>
    <d v="2025-12-30T00:00:00"/>
    <s v="40% Contra entrega de equipos a los dos mes de iniciado el contrato, 30% por avance, 30% finalizar"/>
    <n v="0"/>
    <m/>
    <m/>
    <m/>
    <n v="6264588578.8400002"/>
    <n v="0.4"/>
    <n v="4698441434.1299992"/>
    <n v="0.3"/>
    <m/>
    <m/>
    <n v="4698441434.1299992"/>
    <n v="0.3"/>
    <n v="15661471447.099998"/>
    <m/>
    <m/>
    <m/>
    <m/>
    <m/>
    <m/>
    <m/>
    <m/>
    <n v="0"/>
    <n v="15661471447.099998"/>
    <m/>
    <n v="15661471447.099998"/>
    <b v="0"/>
    <b v="0"/>
  </r>
  <r>
    <x v="0"/>
    <x v="2"/>
    <x v="2"/>
    <x v="2"/>
    <x v="12"/>
    <m/>
    <m/>
    <n v="2897500000"/>
    <x v="7"/>
    <x v="12"/>
    <m/>
    <x v="2"/>
    <x v="0"/>
    <s v="Licitación Pública"/>
    <x v="1"/>
    <x v="0"/>
    <x v="0"/>
    <s v="12/05/2025_x000a_26/05/2025"/>
    <x v="4"/>
    <x v="2"/>
    <x v="4"/>
    <s v="Janeisy Katina Riascos"/>
    <s v="202541340100005384_x000a_202541340100005804       "/>
    <s v="20/may/2025 mesa de trabajo con DATIC con las obsrevacione, DATIC  _x000a_ 22/may/2025 Todas fueron devueltas a DATIC  para que contextualizaran el marco del proyecto de inversión"/>
    <s v="En revision"/>
    <s v="x"/>
    <d v="2025-07-09T00:00:00"/>
    <m/>
    <d v="2025-07-24T00:00:00"/>
    <x v="0"/>
    <d v="2025-10-22T00:00:00"/>
    <d v="2026-03-30T00:00:00"/>
    <s v="50% contra aprobación de pruebas,  25% Despliegue en productivo, 25% uso y apropiación"/>
    <n v="0"/>
    <m/>
    <m/>
    <m/>
    <m/>
    <m/>
    <n v="1448750000"/>
    <n v="0.5"/>
    <m/>
    <m/>
    <n v="724375000"/>
    <n v="0.25"/>
    <n v="2173125000"/>
    <m/>
    <m/>
    <m/>
    <m/>
    <n v="724375000"/>
    <n v="0.25"/>
    <m/>
    <m/>
    <n v="724375000"/>
    <n v="2897500000"/>
    <m/>
    <n v="2897500000"/>
    <b v="1"/>
    <b v="1"/>
  </r>
  <r>
    <x v="0"/>
    <x v="2"/>
    <x v="2"/>
    <x v="2"/>
    <x v="13"/>
    <m/>
    <m/>
    <n v="152500000"/>
    <x v="2"/>
    <x v="13"/>
    <m/>
    <x v="2"/>
    <x v="0"/>
    <s v="Concurso de Méritos"/>
    <x v="1"/>
    <x v="0"/>
    <x v="0"/>
    <m/>
    <x v="0"/>
    <x v="2"/>
    <x v="0"/>
    <m/>
    <n v="2.0254134010000499E+17"/>
    <m/>
    <m/>
    <m/>
    <m/>
    <m/>
    <m/>
    <x v="0"/>
    <d v="2025-10-28T00:00:00"/>
    <d v="2026-03-30T00:00:00"/>
    <s v="50% contra aprobación de pruebas,  25% Despliegue en productivo, 25% uso y apropiación"/>
    <n v="0"/>
    <m/>
    <m/>
    <m/>
    <m/>
    <m/>
    <n v="76250000"/>
    <n v="0.5"/>
    <m/>
    <m/>
    <n v="38125000"/>
    <n v="0.25"/>
    <n v="114375000"/>
    <m/>
    <m/>
    <m/>
    <m/>
    <n v="38125000"/>
    <n v="0.25"/>
    <m/>
    <m/>
    <n v="38125000"/>
    <n v="152500000"/>
    <m/>
    <n v="152500000"/>
    <b v="1"/>
    <b v="1"/>
  </r>
  <r>
    <x v="0"/>
    <x v="2"/>
    <x v="2"/>
    <x v="2"/>
    <x v="14"/>
    <m/>
    <m/>
    <n v="380000000"/>
    <x v="3"/>
    <x v="14"/>
    <m/>
    <x v="2"/>
    <x v="0"/>
    <s v="Selección Abreviada Menor Cuantía"/>
    <x v="1"/>
    <x v="0"/>
    <x v="0"/>
    <m/>
    <x v="0"/>
    <x v="2"/>
    <x v="0"/>
    <m/>
    <m/>
    <m/>
    <m/>
    <m/>
    <m/>
    <m/>
    <m/>
    <x v="0"/>
    <d v="2025-10-28T00:00:00"/>
    <d v="2026-03-30T00:00:00"/>
    <s v="50% contra aprobación de pruebas,  25% Despliegue en productivo, 25% uso y apropiación"/>
    <n v="0"/>
    <m/>
    <m/>
    <m/>
    <m/>
    <m/>
    <n v="190000000"/>
    <n v="0.5"/>
    <m/>
    <m/>
    <n v="95000000"/>
    <n v="0.25"/>
    <n v="285000000"/>
    <m/>
    <m/>
    <m/>
    <m/>
    <n v="95000000"/>
    <n v="0.25"/>
    <m/>
    <m/>
    <n v="95000000"/>
    <n v="380000000"/>
    <m/>
    <n v="380000000"/>
    <b v="1"/>
    <b v="1"/>
  </r>
  <r>
    <x v="0"/>
    <x v="2"/>
    <x v="2"/>
    <x v="2"/>
    <x v="15"/>
    <m/>
    <m/>
    <n v="920000000"/>
    <x v="6"/>
    <x v="15"/>
    <m/>
    <x v="2"/>
    <x v="0"/>
    <s v="Selección abreviada Menor Cuantia"/>
    <x v="1"/>
    <x v="0"/>
    <x v="0"/>
    <m/>
    <x v="0"/>
    <x v="2"/>
    <x v="0"/>
    <m/>
    <m/>
    <m/>
    <m/>
    <m/>
    <m/>
    <m/>
    <m/>
    <x v="0"/>
    <d v="2025-09-18T00:00:00"/>
    <d v="2026-03-30T00:00:00"/>
    <s v="50% contra aprobación de pruebas,  25% Despliegue en productivo, 25% uso y apropiación"/>
    <n v="0"/>
    <m/>
    <m/>
    <m/>
    <m/>
    <m/>
    <n v="460000000"/>
    <n v="0.5"/>
    <m/>
    <m/>
    <n v="230000000"/>
    <n v="0.25"/>
    <n v="690000000"/>
    <m/>
    <m/>
    <m/>
    <m/>
    <n v="230000000"/>
    <n v="0.25"/>
    <m/>
    <m/>
    <n v="230000000"/>
    <n v="920000000"/>
    <m/>
    <n v="920000000"/>
    <b v="1"/>
    <b v="1"/>
  </r>
  <r>
    <x v="0"/>
    <x v="2"/>
    <x v="2"/>
    <x v="2"/>
    <x v="16"/>
    <m/>
    <m/>
    <n v="2480000000"/>
    <x v="5"/>
    <x v="16"/>
    <m/>
    <x v="2"/>
    <x v="0"/>
    <s v="Selección Abreviada Acuerdo Marco de Precios "/>
    <x v="1"/>
    <x v="0"/>
    <x v="0"/>
    <m/>
    <x v="0"/>
    <x v="2"/>
    <x v="0"/>
    <m/>
    <m/>
    <m/>
    <m/>
    <m/>
    <m/>
    <m/>
    <m/>
    <x v="0"/>
    <d v="2025-09-16T00:00:00"/>
    <d v="2026-03-30T00:00:00"/>
    <s v="60% contra aprobación de pruebas,  20% Despliegue en productivo, 20% uso y apropiación"/>
    <n v="0"/>
    <m/>
    <m/>
    <m/>
    <m/>
    <m/>
    <n v="1488000000"/>
    <n v="0.6"/>
    <m/>
    <m/>
    <n v="496000000"/>
    <n v="0.2"/>
    <n v="1984000000"/>
    <m/>
    <m/>
    <m/>
    <m/>
    <n v="496000000"/>
    <n v="0.2"/>
    <m/>
    <m/>
    <n v="496000000"/>
    <n v="2480000000"/>
    <m/>
    <n v="2480000000"/>
    <b v="1"/>
    <b v="1"/>
  </r>
  <r>
    <x v="0"/>
    <x v="2"/>
    <x v="3"/>
    <x v="3"/>
    <x v="17"/>
    <m/>
    <m/>
    <n v="1136190689"/>
    <x v="3"/>
    <x v="17"/>
    <m/>
    <x v="3"/>
    <x v="0"/>
    <s v="Selección Abreviada de Menor Cuantía"/>
    <x v="2"/>
    <x v="0"/>
    <x v="0"/>
    <m/>
    <x v="0"/>
    <x v="2"/>
    <x v="0"/>
    <m/>
    <m/>
    <m/>
    <m/>
    <m/>
    <m/>
    <m/>
    <m/>
    <x v="0"/>
    <d v="2025-10-23T00:00:00"/>
    <d v="2026-03-30T00:00:00"/>
    <s v="50% Contra entrega de equipos a los dos mes de iniciado el contrato, 30% por avance, 20% finalizar"/>
    <n v="0"/>
    <m/>
    <m/>
    <m/>
    <m/>
    <m/>
    <n v="568095344.52499998"/>
    <n v="0.5"/>
    <m/>
    <m/>
    <n v="340857206.71499997"/>
    <n v="0.3"/>
    <n v="908952551.24000001"/>
    <m/>
    <m/>
    <m/>
    <m/>
    <n v="227238137.81"/>
    <n v="0.2"/>
    <m/>
    <m/>
    <n v="227238137.81"/>
    <n v="1136190689.05"/>
    <m/>
    <n v="1136190689.05"/>
    <b v="0"/>
    <b v="0"/>
  </r>
  <r>
    <x v="0"/>
    <x v="2"/>
    <x v="3"/>
    <x v="3"/>
    <x v="18"/>
    <m/>
    <m/>
    <n v="59799510"/>
    <x v="8"/>
    <x v="18"/>
    <m/>
    <x v="2"/>
    <x v="0"/>
    <s v="Mínima Cuantía"/>
    <x v="1"/>
    <x v="0"/>
    <x v="0"/>
    <m/>
    <x v="0"/>
    <x v="2"/>
    <x v="0"/>
    <m/>
    <m/>
    <m/>
    <m/>
    <m/>
    <m/>
    <m/>
    <m/>
    <x v="0"/>
    <d v="2025-09-16T00:00:00"/>
    <d v="2026-03-30T00:00:00"/>
    <s v="50% Contra entrega de equipos a los dos mes de iniciado el contrato, 30% por avance, 20% finalizar"/>
    <n v="0"/>
    <m/>
    <m/>
    <m/>
    <m/>
    <m/>
    <n v="29899754.975000001"/>
    <n v="0.5"/>
    <m/>
    <m/>
    <n v="17939852.984999999"/>
    <n v="0.3"/>
    <n v="47839607.960000001"/>
    <m/>
    <m/>
    <m/>
    <m/>
    <n v="11959901.990000002"/>
    <n v="0.2"/>
    <m/>
    <m/>
    <n v="11959901.990000002"/>
    <n v="59799509.950000003"/>
    <m/>
    <n v="59799509.950000003"/>
    <b v="0"/>
    <b v="0"/>
  </r>
  <r>
    <x v="0"/>
    <x v="2"/>
    <x v="4"/>
    <x v="4"/>
    <x v="19"/>
    <m/>
    <m/>
    <n v="3277125000"/>
    <x v="9"/>
    <x v="19"/>
    <m/>
    <x v="2"/>
    <x v="0"/>
    <s v="Contratación Directa - Único Proveedor "/>
    <x v="1"/>
    <x v="0"/>
    <x v="0"/>
    <s v="13/05/2025_x000a_26/05/2025"/>
    <x v="3"/>
    <x v="2"/>
    <x v="2"/>
    <s v="Janeisy Katina Riascos"/>
    <s v="202541340100005374_x000a_202541340100005814"/>
    <s v="20/may/2025 mesa de trabajo con DATIC con las obsrevacione, DATIC  _x000a_ 22/may/2025 Todas fueron devueltas a DATIC  para que contextualizaran el marco del proyecto de inversión"/>
    <s v="En revision"/>
    <s v="x"/>
    <d v="2025-05-15T00:00:00"/>
    <m/>
    <d v="2025-05-30T00:00:00"/>
    <x v="0"/>
    <d v="2025-08-28T00:00:00"/>
    <d v="2026-03-30T00:00:00"/>
    <s v="50% contra aprobación de pruebas,  25% Despliegue en productivo, 25% uso y apropiación"/>
    <n v="0"/>
    <m/>
    <m/>
    <m/>
    <m/>
    <m/>
    <n v="1638562500"/>
    <n v="0.5"/>
    <m/>
    <m/>
    <n v="819281250"/>
    <n v="0.25"/>
    <n v="2457843750"/>
    <m/>
    <m/>
    <m/>
    <m/>
    <n v="819281250"/>
    <n v="0.25"/>
    <m/>
    <m/>
    <n v="819281250"/>
    <n v="3277125000"/>
    <m/>
    <n v="3277125000"/>
    <b v="1"/>
    <b v="1"/>
  </r>
  <r>
    <x v="0"/>
    <x v="2"/>
    <x v="2"/>
    <x v="2"/>
    <x v="20"/>
    <m/>
    <m/>
    <n v="4763325000"/>
    <x v="5"/>
    <x v="20"/>
    <s v="SI"/>
    <x v="0"/>
    <x v="0"/>
    <m/>
    <x v="0"/>
    <x v="0"/>
    <x v="1"/>
    <s v="19/05/2025_x000a_23/05/2025"/>
    <x v="2"/>
    <x v="2"/>
    <x v="5"/>
    <s v="Janeisy Katina Riascos"/>
    <s v="202541340100005534_x000a_202541340100005854"/>
    <s v="20/may/2025 mesa de trabajo con DATIC con las obsrevacione, DATIC  _x000a_ 22/may/2025 Todas fueron devueltas a DATIC  para que contextualizaran el marco del proyecto de inversión"/>
    <s v="Enviado para ajustes"/>
    <s v="x"/>
    <m/>
    <m/>
    <m/>
    <x v="3"/>
    <d v="2026-03-03T00:00:00"/>
    <d v="2026-03-09T00:00:00"/>
    <s v="Un solo pago despues de entregado el producto"/>
    <n v="0"/>
    <m/>
    <m/>
    <m/>
    <m/>
    <m/>
    <m/>
    <m/>
    <m/>
    <m/>
    <m/>
    <m/>
    <n v="0"/>
    <m/>
    <m/>
    <m/>
    <m/>
    <n v="4763325000"/>
    <n v="1"/>
    <m/>
    <m/>
    <n v="4763325000"/>
    <n v="4763325000"/>
    <m/>
    <n v="4763325000"/>
    <b v="1"/>
    <b v="1"/>
  </r>
  <r>
    <x v="0"/>
    <x v="3"/>
    <x v="5"/>
    <x v="5"/>
    <x v="21"/>
    <n v="5045473784"/>
    <n v="0"/>
    <n v="5045473784"/>
    <x v="0"/>
    <x v="21"/>
    <m/>
    <x v="1"/>
    <x v="0"/>
    <s v="Licitación Pública"/>
    <x v="1"/>
    <x v="0"/>
    <x v="0"/>
    <s v="si"/>
    <x v="2"/>
    <x v="0"/>
    <x v="3"/>
    <s v="Janeisy Katina Riascos"/>
    <s v="si"/>
    <m/>
    <m/>
    <s v="x"/>
    <d v="2025-05-30T00:00:00"/>
    <m/>
    <d v="2025-06-14T00:00:00"/>
    <x v="1"/>
    <d v="2025-09-12T00:00:00"/>
    <d v="2026-02-28T00:00:00"/>
    <s v="POR AVANCE DE OBRA"/>
    <m/>
    <m/>
    <m/>
    <m/>
    <m/>
    <m/>
    <m/>
    <m/>
    <m/>
    <m/>
    <n v="5045473784"/>
    <m/>
    <n v="5045473784"/>
    <m/>
    <m/>
    <m/>
    <m/>
    <n v="0"/>
    <m/>
    <m/>
    <m/>
    <n v="0"/>
    <n v="5045473784"/>
    <m/>
    <n v="5045473784"/>
    <b v="1"/>
    <b v="1"/>
  </r>
  <r>
    <x v="0"/>
    <x v="3"/>
    <x v="5"/>
    <x v="5"/>
    <x v="22"/>
    <n v="11621192881"/>
    <n v="0"/>
    <n v="11621192881"/>
    <x v="0"/>
    <x v="22"/>
    <s v="SI"/>
    <x v="0"/>
    <x v="0"/>
    <m/>
    <x v="0"/>
    <x v="0"/>
    <x v="0"/>
    <s v="si"/>
    <x v="2"/>
    <x v="1"/>
    <x v="1"/>
    <s v="Janeisy Katina Riascos"/>
    <s v="si"/>
    <m/>
    <m/>
    <s v="x"/>
    <d v="2025-07-03T00:00:00"/>
    <m/>
    <d v="2025-07-18T00:00:00"/>
    <x v="2"/>
    <d v="2025-10-16T00:00:00"/>
    <d v="2026-02-28T00:00:00"/>
    <s v="POR AVANCE DE OBRA"/>
    <m/>
    <m/>
    <m/>
    <m/>
    <m/>
    <m/>
    <m/>
    <m/>
    <m/>
    <m/>
    <n v="3868314995"/>
    <m/>
    <n v="3868314995"/>
    <m/>
    <m/>
    <m/>
    <m/>
    <n v="7752877886"/>
    <m/>
    <m/>
    <m/>
    <n v="7752877886"/>
    <n v="11621192881"/>
    <m/>
    <n v="11621192881"/>
    <b v="1"/>
    <b v="1"/>
  </r>
  <r>
    <x v="0"/>
    <x v="3"/>
    <x v="5"/>
    <x v="5"/>
    <x v="23"/>
    <m/>
    <n v="403637903"/>
    <n v="403637903"/>
    <x v="2"/>
    <x v="23"/>
    <m/>
    <x v="1"/>
    <x v="0"/>
    <s v="Concurso de Méritos Abierto"/>
    <x v="2"/>
    <x v="0"/>
    <x v="0"/>
    <m/>
    <x v="0"/>
    <x v="2"/>
    <x v="0"/>
    <m/>
    <m/>
    <m/>
    <m/>
    <m/>
    <m/>
    <m/>
    <m/>
    <x v="2"/>
    <d v="2025-08-29T00:00:00"/>
    <d v="2026-02-28T00:00:00"/>
    <s v="POR AVANCE DE OBRA"/>
    <m/>
    <m/>
    <m/>
    <m/>
    <m/>
    <m/>
    <m/>
    <m/>
    <m/>
    <m/>
    <n v="403637903"/>
    <m/>
    <n v="403637903"/>
    <m/>
    <m/>
    <m/>
    <m/>
    <n v="0"/>
    <m/>
    <m/>
    <m/>
    <n v="0"/>
    <n v="403637903"/>
    <m/>
    <n v="403637903"/>
    <b v="1"/>
    <b v="1"/>
  </r>
  <r>
    <x v="0"/>
    <x v="3"/>
    <x v="5"/>
    <x v="5"/>
    <x v="24"/>
    <m/>
    <n v="929695432"/>
    <n v="929695432"/>
    <x v="2"/>
    <x v="24"/>
    <s v="SI"/>
    <x v="0"/>
    <x v="0"/>
    <m/>
    <x v="0"/>
    <x v="0"/>
    <x v="0"/>
    <m/>
    <x v="0"/>
    <x v="2"/>
    <x v="0"/>
    <m/>
    <m/>
    <m/>
    <m/>
    <m/>
    <m/>
    <m/>
    <m/>
    <x v="0"/>
    <d v="2025-10-16T00:00:00"/>
    <d v="2026-02-28T00:00:00"/>
    <s v="POR AVANCE DE OBRA"/>
    <m/>
    <m/>
    <m/>
    <m/>
    <m/>
    <m/>
    <m/>
    <m/>
    <m/>
    <m/>
    <n v="309465200"/>
    <m/>
    <n v="309465200"/>
    <m/>
    <m/>
    <m/>
    <m/>
    <n v="620230232"/>
    <m/>
    <m/>
    <m/>
    <n v="620230232"/>
    <n v="929695432"/>
    <m/>
    <n v="929695432"/>
    <b v="1"/>
    <b v="1"/>
  </r>
  <r>
    <x v="0"/>
    <x v="4"/>
    <x v="6"/>
    <x v="6"/>
    <x v="25"/>
    <n v="10158774400"/>
    <n v="0"/>
    <n v="10158774400"/>
    <x v="10"/>
    <x v="25"/>
    <m/>
    <x v="2"/>
    <x v="0"/>
    <s v="Contrato/convenio Interadminstrativo "/>
    <x v="2"/>
    <x v="0"/>
    <x v="1"/>
    <s v="si"/>
    <x v="4"/>
    <x v="2"/>
    <x v="2"/>
    <s v="Janeisy Katina Riascos"/>
    <s v="s"/>
    <m/>
    <d v="2025-06-24T00:00:00"/>
    <s v="x"/>
    <m/>
    <m/>
    <m/>
    <x v="0"/>
    <d v="2025-08-31T00:00:00"/>
    <d v="2026-03-30T00:00:00"/>
    <s v="Pagos parciales. Previo cumplimiento y validación de actividades ejecutadas."/>
    <m/>
    <m/>
    <m/>
    <m/>
    <m/>
    <m/>
    <m/>
    <m/>
    <m/>
    <m/>
    <n v="6365242000"/>
    <m/>
    <n v="6365242000"/>
    <m/>
    <m/>
    <m/>
    <m/>
    <m/>
    <m/>
    <n v="3793532400"/>
    <m/>
    <n v="3793532400"/>
    <n v="10158774400"/>
    <m/>
    <n v="10158774400"/>
    <b v="1"/>
    <b v="1"/>
  </r>
  <r>
    <x v="0"/>
    <x v="4"/>
    <x v="6"/>
    <x v="6"/>
    <x v="26"/>
    <n v="2250000000"/>
    <m/>
    <n v="2250000000"/>
    <x v="10"/>
    <x v="26"/>
    <m/>
    <x v="2"/>
    <x v="0"/>
    <s v="Contratacion directa - Para el desarrollo de actividades cientificas y tecnologicas"/>
    <x v="2"/>
    <x v="0"/>
    <x v="0"/>
    <m/>
    <x v="0"/>
    <x v="2"/>
    <x v="0"/>
    <m/>
    <m/>
    <m/>
    <m/>
    <m/>
    <m/>
    <m/>
    <m/>
    <x v="0"/>
    <d v="2025-08-31T00:00:00"/>
    <d v="2026-03-30T00:00:00"/>
    <s v="Pagos parciales. Previo cumplimiento y validación de actividades ejecutadas."/>
    <m/>
    <m/>
    <m/>
    <m/>
    <m/>
    <m/>
    <m/>
    <m/>
    <m/>
    <m/>
    <n v="1500000000"/>
    <m/>
    <n v="1500000000"/>
    <m/>
    <m/>
    <m/>
    <m/>
    <m/>
    <m/>
    <n v="750000000"/>
    <m/>
    <n v="750000000"/>
    <n v="2250000000"/>
    <m/>
    <n v="2250000000"/>
    <b v="1"/>
    <b v="1"/>
  </r>
  <r>
    <x v="0"/>
    <x v="4"/>
    <x v="6"/>
    <x v="6"/>
    <x v="27"/>
    <n v="1000000000"/>
    <m/>
    <n v="1000000000"/>
    <x v="11"/>
    <x v="27"/>
    <m/>
    <x v="2"/>
    <x v="0"/>
    <s v="Contratacion directa - Para el desarrollo de actividades cientificas y tecnologicas"/>
    <x v="2"/>
    <x v="0"/>
    <x v="0"/>
    <m/>
    <x v="0"/>
    <x v="2"/>
    <x v="0"/>
    <m/>
    <m/>
    <m/>
    <m/>
    <m/>
    <m/>
    <m/>
    <m/>
    <x v="0"/>
    <d v="2025-09-15T00:00:00"/>
    <s v="1/02/2026"/>
    <s v="Pagos parciales. Previo cumplimiento y validación de actividades ejecutadas."/>
    <m/>
    <m/>
    <m/>
    <m/>
    <m/>
    <m/>
    <m/>
    <m/>
    <m/>
    <m/>
    <n v="700000000"/>
    <m/>
    <n v="700000000"/>
    <m/>
    <m/>
    <m/>
    <m/>
    <m/>
    <m/>
    <n v="300000000"/>
    <m/>
    <n v="300000000"/>
    <n v="1000000000"/>
    <m/>
    <n v="1000000000"/>
    <b v="1"/>
    <b v="1"/>
  </r>
  <r>
    <x v="0"/>
    <x v="4"/>
    <x v="6"/>
    <x v="6"/>
    <x v="28"/>
    <n v="591225600"/>
    <m/>
    <n v="591225600"/>
    <x v="12"/>
    <x v="28"/>
    <m/>
    <x v="3"/>
    <x v="0"/>
    <s v="Contratacion directa - Para el desarrollo de actividades cientificas y tecnologicas"/>
    <x v="2"/>
    <x v="0"/>
    <x v="0"/>
    <m/>
    <x v="0"/>
    <x v="2"/>
    <x v="0"/>
    <m/>
    <m/>
    <m/>
    <m/>
    <m/>
    <m/>
    <m/>
    <m/>
    <x v="0"/>
    <d v="2025-08-31T00:00:00"/>
    <d v="2026-02-01T00:00:00"/>
    <s v="Pagos parciales. Previo cumplimiento y validación de actividades ejecutadas."/>
    <m/>
    <m/>
    <m/>
    <m/>
    <m/>
    <m/>
    <m/>
    <m/>
    <m/>
    <m/>
    <n v="184758000"/>
    <m/>
    <n v="184758000"/>
    <m/>
    <m/>
    <m/>
    <m/>
    <m/>
    <m/>
    <n v="406467600"/>
    <m/>
    <n v="406467600"/>
    <n v="591225600"/>
    <m/>
    <n v="591225600"/>
    <b v="1"/>
    <b v="1"/>
  </r>
  <r>
    <x v="0"/>
    <x v="5"/>
    <x v="7"/>
    <x v="7"/>
    <x v="29"/>
    <n v="12000000000"/>
    <m/>
    <n v="5000000000"/>
    <x v="13"/>
    <x v="29"/>
    <s v="SI"/>
    <x v="0"/>
    <x v="0"/>
    <m/>
    <x v="0"/>
    <x v="1"/>
    <x v="1"/>
    <s v="si"/>
    <x v="1"/>
    <x v="3"/>
    <x v="6"/>
    <s v="Janeisy Katina Riascos"/>
    <s v="s"/>
    <m/>
    <s v="Enviado para ajustes"/>
    <s v="x"/>
    <m/>
    <m/>
    <m/>
    <x v="1"/>
    <s v="POR DEFINIR"/>
    <d v="2025-12-31T00:00:00"/>
    <s v="Resolucion Transferencia"/>
    <m/>
    <m/>
    <n v="12000000000"/>
    <m/>
    <m/>
    <m/>
    <m/>
    <m/>
    <m/>
    <m/>
    <m/>
    <m/>
    <n v="12000000000"/>
    <m/>
    <m/>
    <m/>
    <m/>
    <m/>
    <m/>
    <m/>
    <m/>
    <n v="0"/>
    <n v="12000000000"/>
    <m/>
    <n v="12000000000"/>
    <b v="0"/>
    <b v="0"/>
  </r>
  <r>
    <x v="0"/>
    <x v="5"/>
    <x v="8"/>
    <x v="8"/>
    <x v="30"/>
    <n v="5000000000"/>
    <m/>
    <n v="12000000000"/>
    <x v="10"/>
    <x v="30"/>
    <s v="SI"/>
    <x v="0"/>
    <x v="0"/>
    <m/>
    <x v="0"/>
    <x v="0"/>
    <x v="1"/>
    <m/>
    <x v="5"/>
    <x v="1"/>
    <x v="6"/>
    <s v="Janeisy Katina Riascos"/>
    <m/>
    <m/>
    <m/>
    <m/>
    <m/>
    <m/>
    <m/>
    <x v="0"/>
    <s v="POR DEFINIR"/>
    <d v="2025-12-30T00:00:00"/>
    <m/>
    <m/>
    <m/>
    <m/>
    <m/>
    <m/>
    <m/>
    <n v="5000000000"/>
    <m/>
    <m/>
    <m/>
    <m/>
    <m/>
    <n v="5000000000"/>
    <m/>
    <m/>
    <m/>
    <m/>
    <m/>
    <m/>
    <m/>
    <m/>
    <m/>
    <n v="5000000000"/>
    <m/>
    <n v="5000000000"/>
    <b v="0"/>
    <b v="0"/>
  </r>
  <r>
    <x v="0"/>
    <x v="5"/>
    <x v="9"/>
    <x v="9"/>
    <x v="31"/>
    <n v="10450000000"/>
    <m/>
    <n v="9500000000"/>
    <x v="0"/>
    <x v="31"/>
    <s v="SI"/>
    <x v="0"/>
    <x v="0"/>
    <m/>
    <x v="0"/>
    <x v="0"/>
    <x v="0"/>
    <s v="30/05/2025 a las 5: 29 om"/>
    <x v="6"/>
    <x v="1"/>
    <x v="1"/>
    <s v="Janeisy Katina Riascos"/>
    <s v="202541430400005634"/>
    <s v="Se recibio a las 5:30 pm"/>
    <s v="PREVISTO PARA ANTES DEL 23MAY"/>
    <s v="x"/>
    <d v="2025-07-30T00:00:00"/>
    <m/>
    <d v="2025-08-14T00:00:00"/>
    <x v="2"/>
    <d v="2025-11-12T00:00:00"/>
    <d v="2026-05-30T00:00:00"/>
    <s v="46172 Contra Factura Ejecución"/>
    <m/>
    <m/>
    <m/>
    <m/>
    <m/>
    <m/>
    <n v="496375000"/>
    <n v="0.05"/>
    <n v="1489125000"/>
    <n v="0.15"/>
    <n v="1489125000"/>
    <n v="0.15"/>
    <n v="3474625000"/>
    <n v="1985500000"/>
    <n v="0.2"/>
    <n v="2481875000"/>
    <n v="0.25"/>
    <n v="1985500000"/>
    <n v="0.2"/>
    <m/>
    <m/>
    <n v="6452875000"/>
    <n v="9927500000"/>
    <m/>
    <n v="9927500000"/>
    <b v="0"/>
    <b v="0"/>
  </r>
  <r>
    <x v="0"/>
    <x v="5"/>
    <x v="9"/>
    <x v="9"/>
    <x v="32"/>
    <m/>
    <n v="522500000"/>
    <n v="950000000"/>
    <x v="2"/>
    <x v="32"/>
    <s v="SI"/>
    <x v="0"/>
    <x v="0"/>
    <m/>
    <x v="0"/>
    <x v="0"/>
    <x v="0"/>
    <m/>
    <x v="0"/>
    <x v="2"/>
    <x v="0"/>
    <m/>
    <m/>
    <m/>
    <m/>
    <m/>
    <m/>
    <m/>
    <m/>
    <x v="0"/>
    <d v="2025-11-12T00:00:00"/>
    <d v="2025-10-01T00:00:00"/>
    <s v="46172 Contra Factura Ejecución"/>
    <m/>
    <m/>
    <m/>
    <m/>
    <m/>
    <m/>
    <n v="24818750"/>
    <m/>
    <n v="74456250"/>
    <m/>
    <n v="74456250"/>
    <m/>
    <n v="173731250"/>
    <n v="99275000"/>
    <m/>
    <n v="124093750"/>
    <m/>
    <n v="125400000"/>
    <m/>
    <m/>
    <m/>
    <n v="348768750"/>
    <n v="522500000"/>
    <m/>
    <n v="522500000"/>
    <b v="0"/>
    <b v="0"/>
  </r>
  <r>
    <x v="0"/>
    <x v="6"/>
    <x v="10"/>
    <x v="10"/>
    <x v="33"/>
    <n v="32642128287"/>
    <m/>
    <n v="32675081455"/>
    <x v="0"/>
    <x v="33"/>
    <s v="SI"/>
    <x v="1"/>
    <x v="0"/>
    <s v="Licitación Pública"/>
    <x v="1"/>
    <x v="1"/>
    <x v="0"/>
    <m/>
    <x v="0"/>
    <x v="2"/>
    <x v="0"/>
    <m/>
    <m/>
    <m/>
    <m/>
    <m/>
    <m/>
    <m/>
    <m/>
    <x v="1"/>
    <d v="2025-09-01T00:00:00"/>
    <d v="2025-12-31T00:00:00"/>
    <s v="Contra entrega"/>
    <m/>
    <m/>
    <m/>
    <m/>
    <m/>
    <m/>
    <m/>
    <m/>
    <m/>
    <m/>
    <n v="80000000000"/>
    <m/>
    <n v="34479542892"/>
    <m/>
    <m/>
    <m/>
    <m/>
    <m/>
    <m/>
    <m/>
    <m/>
    <n v="0"/>
    <n v="34479542892"/>
    <m/>
    <n v="34479542892"/>
    <b v="0"/>
    <b v="0"/>
  </r>
  <r>
    <x v="0"/>
    <x v="6"/>
    <x v="10"/>
    <x v="10"/>
    <x v="34"/>
    <n v="3308621583"/>
    <m/>
    <n v="3308621583"/>
    <x v="0"/>
    <x v="34"/>
    <s v="SI"/>
    <x v="1"/>
    <x v="0"/>
    <s v="Licitación Pública"/>
    <x v="2"/>
    <x v="1"/>
    <x v="0"/>
    <m/>
    <x v="0"/>
    <x v="2"/>
    <x v="0"/>
    <m/>
    <m/>
    <m/>
    <m/>
    <m/>
    <m/>
    <m/>
    <m/>
    <x v="1"/>
    <d v="2025-09-01T00:00:00"/>
    <d v="2025-12-31T00:00:00"/>
    <s v="POR AVANCE DE OBRA"/>
    <m/>
    <m/>
    <m/>
    <m/>
    <m/>
    <m/>
    <m/>
    <m/>
    <m/>
    <m/>
    <n v="14026352860.253332"/>
    <m/>
    <n v="810601805"/>
    <m/>
    <m/>
    <m/>
    <m/>
    <m/>
    <m/>
    <m/>
    <m/>
    <n v="0"/>
    <n v="810601805"/>
    <m/>
    <n v="810601805"/>
    <b v="0"/>
    <b v="0"/>
  </r>
  <r>
    <x v="0"/>
    <x v="6"/>
    <x v="10"/>
    <x v="10"/>
    <x v="35"/>
    <n v="71225128177"/>
    <m/>
    <n v="72635632300"/>
    <x v="14"/>
    <x v="35"/>
    <s v="SI"/>
    <x v="1"/>
    <x v="0"/>
    <s v="Selección Abreviada"/>
    <x v="2"/>
    <x v="1"/>
    <x v="0"/>
    <m/>
    <x v="0"/>
    <x v="2"/>
    <x v="0"/>
    <m/>
    <m/>
    <m/>
    <m/>
    <m/>
    <m/>
    <m/>
    <m/>
    <x v="1"/>
    <d v="2025-08-29T00:00:00"/>
    <d v="2025-12-31T00:00:00"/>
    <s v="Por consumo"/>
    <m/>
    <m/>
    <m/>
    <m/>
    <m/>
    <m/>
    <m/>
    <m/>
    <m/>
    <m/>
    <n v="30000000000"/>
    <m/>
    <n v="3000000000"/>
    <m/>
    <m/>
    <m/>
    <m/>
    <m/>
    <m/>
    <m/>
    <m/>
    <n v="0"/>
    <n v="3000000000"/>
    <m/>
    <n v="3000000000"/>
    <b v="0"/>
    <b v="0"/>
  </r>
  <r>
    <x v="0"/>
    <x v="6"/>
    <x v="10"/>
    <x v="10"/>
    <x v="36"/>
    <n v="3000000000"/>
    <m/>
    <n v="3300000000"/>
    <x v="2"/>
    <x v="36"/>
    <s v="SI"/>
    <x v="0"/>
    <x v="0"/>
    <s v="Concurso de Méritos"/>
    <x v="0"/>
    <x v="1"/>
    <x v="0"/>
    <m/>
    <x v="0"/>
    <x v="2"/>
    <x v="0"/>
    <m/>
    <m/>
    <m/>
    <m/>
    <m/>
    <m/>
    <m/>
    <m/>
    <x v="1"/>
    <d v="2025-09-01T00:00:00"/>
    <d v="2025-12-31T00:00:00"/>
    <s v="POR AVANCE DE OBRA"/>
    <m/>
    <m/>
    <m/>
    <m/>
    <m/>
    <m/>
    <m/>
    <m/>
    <m/>
    <m/>
    <n v="14026352860.253332"/>
    <m/>
    <n v="441149544"/>
    <m/>
    <m/>
    <m/>
    <m/>
    <m/>
    <m/>
    <m/>
    <m/>
    <n v="0"/>
    <n v="441149544"/>
    <m/>
    <n v="441149544"/>
    <b v="0"/>
    <b v="0"/>
  </r>
  <r>
    <x v="0"/>
    <x v="6"/>
    <x v="10"/>
    <x v="10"/>
    <x v="37"/>
    <n v="641793087"/>
    <m/>
    <n v="641793087"/>
    <x v="15"/>
    <x v="37"/>
    <s v="SI"/>
    <x v="1"/>
    <x v="0"/>
    <s v="Selección Abreviada"/>
    <x v="3"/>
    <x v="1"/>
    <x v="0"/>
    <m/>
    <x v="0"/>
    <x v="2"/>
    <x v="0"/>
    <m/>
    <m/>
    <m/>
    <m/>
    <m/>
    <m/>
    <m/>
    <m/>
    <x v="0"/>
    <d v="2025-08-22T00:00:00"/>
    <d v="2025-12-31T00:00:00"/>
    <s v="Por definir"/>
    <m/>
    <m/>
    <m/>
    <m/>
    <m/>
    <m/>
    <m/>
    <m/>
    <m/>
    <m/>
    <m/>
    <m/>
    <n v="80000000000"/>
    <m/>
    <m/>
    <m/>
    <m/>
    <m/>
    <m/>
    <m/>
    <m/>
    <n v="0"/>
    <n v="80000000000"/>
    <m/>
    <n v="80000000000"/>
    <b v="0"/>
    <b v="0"/>
  </r>
  <r>
    <x v="0"/>
    <x v="6"/>
    <x v="10"/>
    <x v="10"/>
    <x v="38"/>
    <n v="810601805"/>
    <m/>
    <n v="810601805"/>
    <x v="16"/>
    <x v="38"/>
    <s v="SI"/>
    <x v="1"/>
    <x v="0"/>
    <s v="Menor Cuantía"/>
    <x v="2"/>
    <x v="1"/>
    <x v="0"/>
    <m/>
    <x v="0"/>
    <x v="2"/>
    <x v="0"/>
    <m/>
    <m/>
    <m/>
    <m/>
    <m/>
    <m/>
    <m/>
    <m/>
    <x v="2"/>
    <d v="2025-09-18T00:00:00"/>
    <d v="2025-12-31T00:00:00"/>
    <s v="POR AVANCE DE OBRA"/>
    <m/>
    <m/>
    <m/>
    <m/>
    <m/>
    <m/>
    <m/>
    <m/>
    <m/>
    <m/>
    <n v="1219682857.4133334"/>
    <m/>
    <n v="30000000000"/>
    <m/>
    <m/>
    <m/>
    <m/>
    <m/>
    <m/>
    <m/>
    <m/>
    <n v="0"/>
    <n v="30000000000"/>
    <m/>
    <n v="30000000000"/>
    <b v="0"/>
    <b v="0"/>
  </r>
  <r>
    <x v="0"/>
    <x v="6"/>
    <x v="10"/>
    <x v="10"/>
    <x v="39"/>
    <n v="5091272148"/>
    <m/>
    <n v="5091272148"/>
    <x v="17"/>
    <x v="39"/>
    <s v="SI"/>
    <x v="1"/>
    <x v="0"/>
    <s v="Convenio interadministrativo"/>
    <x v="3"/>
    <x v="1"/>
    <x v="0"/>
    <m/>
    <x v="0"/>
    <x v="2"/>
    <x v="0"/>
    <m/>
    <m/>
    <m/>
    <m/>
    <m/>
    <m/>
    <m/>
    <m/>
    <x v="0"/>
    <d v="2025-08-15T00:00:00"/>
    <d v="2025-12-31T00:00:00"/>
    <s v="Por definir"/>
    <m/>
    <m/>
    <m/>
    <m/>
    <m/>
    <m/>
    <m/>
    <m/>
    <m/>
    <m/>
    <m/>
    <m/>
    <n v="80000000000"/>
    <m/>
    <m/>
    <m/>
    <m/>
    <m/>
    <m/>
    <m/>
    <m/>
    <n v="0"/>
    <n v="80000000000"/>
    <m/>
    <n v="80000000000"/>
    <b v="0"/>
    <b v="0"/>
  </r>
  <r>
    <x v="0"/>
    <x v="6"/>
    <x v="10"/>
    <x v="10"/>
    <x v="40"/>
    <n v="3385857157"/>
    <m/>
    <n v="3385857157"/>
    <x v="14"/>
    <x v="40"/>
    <s v="SI"/>
    <x v="1"/>
    <x v="0"/>
    <s v="Selección Abreviada"/>
    <x v="3"/>
    <x v="1"/>
    <x v="0"/>
    <m/>
    <x v="0"/>
    <x v="2"/>
    <x v="0"/>
    <m/>
    <m/>
    <m/>
    <m/>
    <m/>
    <m/>
    <m/>
    <m/>
    <x v="0"/>
    <d v="2025-10-03T00:00:00"/>
    <d v="2025-12-31T00:00:00"/>
    <s v="Por definir"/>
    <m/>
    <m/>
    <m/>
    <m/>
    <m/>
    <m/>
    <m/>
    <m/>
    <m/>
    <m/>
    <m/>
    <m/>
    <n v="80000000000"/>
    <m/>
    <m/>
    <m/>
    <m/>
    <m/>
    <m/>
    <m/>
    <m/>
    <n v="0"/>
    <n v="80000000000"/>
    <m/>
    <n v="80000000000"/>
    <b v="0"/>
    <b v="0"/>
  </r>
  <r>
    <x v="0"/>
    <x v="6"/>
    <x v="10"/>
    <x v="10"/>
    <x v="41"/>
    <n v="4747221579"/>
    <m/>
    <n v="3336717456"/>
    <x v="14"/>
    <x v="35"/>
    <s v="SI"/>
    <x v="1"/>
    <x v="0"/>
    <s v="Selección Abreviada"/>
    <x v="1"/>
    <x v="1"/>
    <x v="0"/>
    <m/>
    <x v="0"/>
    <x v="2"/>
    <x v="0"/>
    <m/>
    <m/>
    <m/>
    <m/>
    <m/>
    <m/>
    <m/>
    <m/>
    <x v="1"/>
    <d v="2025-10-06T00:00:00"/>
    <d v="2025-12-31T00:00:00"/>
    <s v="POR AVANCE DE OBRA"/>
    <m/>
    <m/>
    <m/>
    <m/>
    <m/>
    <m/>
    <m/>
    <m/>
    <m/>
    <m/>
    <n v="14026352860.253332"/>
    <m/>
    <n v="4411495444"/>
    <m/>
    <m/>
    <m/>
    <m/>
    <m/>
    <m/>
    <m/>
    <m/>
    <n v="0"/>
    <n v="4411495444"/>
    <m/>
    <n v="4411495444"/>
    <b v="0"/>
    <b v="0"/>
  </r>
  <r>
    <x v="0"/>
    <x v="6"/>
    <x v="10"/>
    <x v="10"/>
    <x v="42"/>
    <n v="552530162"/>
    <m/>
    <n v="552530162"/>
    <x v="16"/>
    <x v="33"/>
    <s v="SI"/>
    <x v="0"/>
    <x v="0"/>
    <s v="Menor Cuantía"/>
    <x v="0"/>
    <x v="1"/>
    <x v="0"/>
    <m/>
    <x v="0"/>
    <x v="2"/>
    <x v="0"/>
    <m/>
    <m/>
    <m/>
    <m/>
    <m/>
    <m/>
    <m/>
    <m/>
    <x v="1"/>
    <d v="2025-10-15T00:00:00"/>
    <d v="2025-12-31T00:00:00"/>
    <s v="POR AVANCE DE OBRA"/>
    <m/>
    <m/>
    <m/>
    <m/>
    <m/>
    <m/>
    <m/>
    <m/>
    <m/>
    <m/>
    <n v="1219682857.4133334"/>
    <m/>
    <n v="291638349"/>
    <m/>
    <m/>
    <m/>
    <m/>
    <m/>
    <m/>
    <m/>
    <m/>
    <n v="0"/>
    <n v="291638349"/>
    <m/>
    <n v="291638349"/>
    <b v="0"/>
    <b v="0"/>
  </r>
  <r>
    <x v="0"/>
    <x v="6"/>
    <x v="10"/>
    <x v="10"/>
    <x v="43"/>
    <n v="30000000000"/>
    <m/>
    <n v="30000000000"/>
    <x v="18"/>
    <x v="41"/>
    <s v="SI"/>
    <x v="1"/>
    <x v="0"/>
    <s v="Acuerdo Marco de Precios "/>
    <x v="0"/>
    <x v="2"/>
    <x v="0"/>
    <m/>
    <x v="0"/>
    <x v="2"/>
    <x v="0"/>
    <m/>
    <m/>
    <m/>
    <m/>
    <m/>
    <m/>
    <m/>
    <m/>
    <x v="0"/>
    <d v="2025-09-15T00:00:00"/>
    <m/>
    <m/>
    <m/>
    <m/>
    <m/>
    <m/>
    <m/>
    <m/>
    <m/>
    <m/>
    <m/>
    <m/>
    <m/>
    <m/>
    <m/>
    <m/>
    <m/>
    <m/>
    <m/>
    <m/>
    <m/>
    <m/>
    <m/>
    <m/>
    <m/>
    <m/>
    <m/>
    <m/>
    <m/>
  </r>
  <r>
    <x v="0"/>
    <x v="7"/>
    <x v="11"/>
    <x v="11"/>
    <x v="0"/>
    <n v="1176046140"/>
    <m/>
    <n v="1176046140"/>
    <x v="3"/>
    <x v="42"/>
    <m/>
    <x v="1"/>
    <x v="0"/>
    <s v="Licitación Pública"/>
    <x v="1"/>
    <x v="1"/>
    <x v="0"/>
    <m/>
    <x v="0"/>
    <x v="2"/>
    <x v="0"/>
    <m/>
    <m/>
    <m/>
    <m/>
    <m/>
    <m/>
    <m/>
    <m/>
    <x v="1"/>
    <d v="2025-08-22T00:00:00"/>
    <d v="2025-03-01T00:00:00"/>
    <m/>
    <m/>
    <m/>
    <m/>
    <m/>
    <m/>
    <m/>
    <m/>
    <m/>
    <m/>
    <m/>
    <n v="1176046140"/>
    <m/>
    <n v="1176046140"/>
    <m/>
    <m/>
    <m/>
    <n v="0"/>
    <m/>
    <m/>
    <m/>
    <m/>
    <n v="0"/>
    <n v="1176046140"/>
    <m/>
    <n v="1176046140"/>
    <b v="1"/>
    <b v="1"/>
  </r>
  <r>
    <x v="0"/>
    <x v="7"/>
    <x v="11"/>
    <x v="11"/>
    <x v="44"/>
    <n v="2753325060"/>
    <m/>
    <n v="2753325060"/>
    <x v="0"/>
    <x v="43"/>
    <m/>
    <x v="3"/>
    <x v="0"/>
    <s v="Licitación Pública"/>
    <x v="2"/>
    <x v="0"/>
    <x v="0"/>
    <m/>
    <x v="0"/>
    <x v="2"/>
    <x v="0"/>
    <m/>
    <m/>
    <m/>
    <m/>
    <m/>
    <m/>
    <m/>
    <m/>
    <x v="1"/>
    <d v="2025-08-22T00:00:00"/>
    <d v="2025-03-01T00:00:00"/>
    <m/>
    <m/>
    <m/>
    <m/>
    <m/>
    <m/>
    <m/>
    <m/>
    <m/>
    <m/>
    <m/>
    <n v="746002876"/>
    <m/>
    <n v="746002876"/>
    <m/>
    <m/>
    <m/>
    <n v="0"/>
    <n v="2007322184"/>
    <m/>
    <m/>
    <m/>
    <n v="2007322184"/>
    <n v="2753325060"/>
    <m/>
    <n v="2753325060"/>
    <b v="1"/>
    <b v="1"/>
  </r>
  <r>
    <x v="0"/>
    <x v="7"/>
    <x v="11"/>
    <x v="11"/>
    <x v="45"/>
    <n v="570628800"/>
    <m/>
    <n v="570628800"/>
    <x v="2"/>
    <x v="44"/>
    <m/>
    <x v="3"/>
    <x v="0"/>
    <s v="Concurso de Méritos Abierto"/>
    <x v="2"/>
    <x v="1"/>
    <x v="0"/>
    <m/>
    <x v="0"/>
    <x v="2"/>
    <x v="0"/>
    <m/>
    <m/>
    <m/>
    <m/>
    <m/>
    <m/>
    <m/>
    <m/>
    <x v="0"/>
    <d v="2025-08-15T00:00:00"/>
    <d v="2025-03-01T00:00:00"/>
    <m/>
    <m/>
    <m/>
    <m/>
    <m/>
    <m/>
    <m/>
    <m/>
    <m/>
    <m/>
    <m/>
    <n v="237762000"/>
    <m/>
    <n v="237762000"/>
    <m/>
    <m/>
    <m/>
    <n v="0"/>
    <m/>
    <m/>
    <m/>
    <m/>
    <n v="0"/>
    <n v="237762000"/>
    <m/>
    <n v="237762000"/>
    <b v="0"/>
    <b v="0"/>
  </r>
  <r>
    <x v="0"/>
    <x v="8"/>
    <x v="12"/>
    <x v="12"/>
    <x v="46"/>
    <n v="17537522000"/>
    <m/>
    <n v="17537522000"/>
    <x v="19"/>
    <x v="45"/>
    <s v="SI"/>
    <x v="1"/>
    <x v="0"/>
    <s v="Contratación Directa - Convenio/Contratos Interadministrativos"/>
    <x v="1"/>
    <x v="0"/>
    <x v="0"/>
    <m/>
    <x v="7"/>
    <x v="3"/>
    <x v="2"/>
    <s v="Janeisy Katina Riascos"/>
    <m/>
    <m/>
    <m/>
    <m/>
    <m/>
    <m/>
    <m/>
    <x v="1"/>
    <m/>
    <d v="2025-12-31T00:00:00"/>
    <s v="46022 Pago total del subsidio asignado por hogar_x000a_Vigencias futuras: Asiganción subsidio individual por hogar"/>
    <n v="0"/>
    <n v="0"/>
    <m/>
    <m/>
    <n v="3349799855"/>
    <n v="0.2"/>
    <n v="6699599711"/>
    <n v="0.4"/>
    <n v="5024699783"/>
    <n v="0.3"/>
    <n v="1674899928"/>
    <n v="0.1"/>
    <n v="17537522000"/>
    <n v="0"/>
    <m/>
    <n v="0"/>
    <m/>
    <m/>
    <n v="0"/>
    <m/>
    <m/>
    <n v="0"/>
    <n v="17537522000"/>
    <m/>
    <n v="17537522000"/>
    <b v="1"/>
    <b v="1"/>
  </r>
  <r>
    <x v="0"/>
    <x v="8"/>
    <x v="12"/>
    <x v="12"/>
    <x v="47"/>
    <n v="650000000"/>
    <m/>
    <n v="650000000"/>
    <x v="19"/>
    <x v="46"/>
    <s v="SI"/>
    <x v="1"/>
    <x v="0"/>
    <s v="Contratación Directa - Prestación de Servicios Profesionales y Apoyo a la Gestión (Persona Jurídica)"/>
    <x v="3"/>
    <x v="0"/>
    <x v="0"/>
    <m/>
    <x v="0"/>
    <x v="2"/>
    <x v="0"/>
    <m/>
    <m/>
    <m/>
    <m/>
    <m/>
    <m/>
    <m/>
    <m/>
    <x v="1"/>
    <d v="2025-08-03T00:00:00"/>
    <d v="2025-10-30T00:00:00"/>
    <s v="Por definir"/>
    <m/>
    <m/>
    <m/>
    <m/>
    <m/>
    <m/>
    <m/>
    <m/>
    <m/>
    <m/>
    <m/>
    <m/>
    <n v="650000000"/>
    <m/>
    <m/>
    <m/>
    <m/>
    <m/>
    <m/>
    <m/>
    <m/>
    <m/>
    <n v="650000000"/>
    <m/>
    <n v="650000000"/>
    <b v="1"/>
    <b v="1"/>
  </r>
  <r>
    <x v="0"/>
    <x v="8"/>
    <x v="12"/>
    <x v="12"/>
    <x v="48"/>
    <n v="20000000000"/>
    <m/>
    <n v="20000000000"/>
    <x v="20"/>
    <x v="47"/>
    <s v="SI"/>
    <x v="1"/>
    <x v="0"/>
    <m/>
    <x v="0"/>
    <x v="1"/>
    <x v="0"/>
    <m/>
    <x v="7"/>
    <x v="1"/>
    <x v="3"/>
    <s v="Janeisy Katina Riascos"/>
    <m/>
    <m/>
    <m/>
    <m/>
    <m/>
    <m/>
    <m/>
    <x v="0"/>
    <d v="2025-08-15T00:00:00"/>
    <d v="2025-08-01T00:00:00"/>
    <s v="46053 Pago directo a cada propietario según lo paatdo en la promesa de compraventa "/>
    <n v="0"/>
    <n v="0"/>
    <n v="6000000000"/>
    <n v="0.3"/>
    <n v="4000000000"/>
    <n v="0.2"/>
    <n v="4000000000"/>
    <n v="0.2"/>
    <n v="4000000000"/>
    <n v="0.2"/>
    <n v="2000000000"/>
    <n v="0.1"/>
    <n v="20000000000"/>
    <n v="0"/>
    <m/>
    <n v="0"/>
    <m/>
    <m/>
    <n v="0"/>
    <m/>
    <m/>
    <n v="0"/>
    <n v="20000000000"/>
    <m/>
    <n v="20000000000"/>
    <b v="1"/>
    <b v="1"/>
  </r>
  <r>
    <x v="0"/>
    <x v="8"/>
    <x v="12"/>
    <x v="12"/>
    <x v="49"/>
    <n v="2882896228.6900001"/>
    <m/>
    <n v="2882896228.6900001"/>
    <x v="21"/>
    <x v="48"/>
    <s v="SI"/>
    <x v="1"/>
    <x v="0"/>
    <s v="Contratación Directa - Convenio/Contratos Interadministrativos (2.000 millones)"/>
    <x v="2"/>
    <x v="0"/>
    <x v="0"/>
    <m/>
    <x v="7"/>
    <x v="3"/>
    <x v="6"/>
    <s v="Janeisy Katina Riascos"/>
    <m/>
    <m/>
    <m/>
    <m/>
    <d v="2025-05-02T00:00:00"/>
    <m/>
    <d v="2025-05-17T00:00:00"/>
    <x v="0"/>
    <d v="2025-08-15T00:00:00"/>
    <d v="2026-03-30T00:00:00"/>
    <s v="46568 Pago total del subsidio asignado por hogar_x000a_Vigencia futura el 50% del contrato"/>
    <n v="0"/>
    <n v="0"/>
    <n v="1994617788"/>
    <n v="0.1"/>
    <n v="2792464903"/>
    <n v="0.14000000000000001"/>
    <n v="797847115"/>
    <n v="0.04"/>
    <n v="2207863625"/>
    <n v="0.14000000000000001"/>
    <n v="1261636357"/>
    <n v="0.08"/>
    <n v="2198106510"/>
    <n v="0"/>
    <m/>
    <n v="3154090893"/>
    <n v="0.2"/>
    <n v="4731136339"/>
    <n v="0.3"/>
    <m/>
    <m/>
    <n v="1301893490"/>
    <n v="3500000000"/>
    <m/>
    <n v="3500000000"/>
    <b v="0"/>
    <b v="0"/>
  </r>
  <r>
    <x v="0"/>
    <x v="8"/>
    <x v="12"/>
    <x v="12"/>
    <x v="50"/>
    <n v="11637154856"/>
    <m/>
    <n v="11637154856"/>
    <x v="22"/>
    <x v="49"/>
    <s v="SI"/>
    <x v="1"/>
    <x v="0"/>
    <s v="Va con VF en el 2025 solo van 4382895229"/>
    <x v="0"/>
    <x v="0"/>
    <x v="1"/>
    <m/>
    <x v="7"/>
    <x v="1"/>
    <x v="3"/>
    <s v="Janeisy Katina Riascos"/>
    <m/>
    <m/>
    <m/>
    <m/>
    <m/>
    <m/>
    <m/>
    <x v="0"/>
    <d v="2025-08-22T00:00:00"/>
    <d v="2025-08-01T00:00:00"/>
    <s v="46022 70% a la firma de escritura y 30% al registro "/>
    <n v="0"/>
    <m/>
    <n v="14000000000"/>
    <n v="0.7"/>
    <n v="0"/>
    <m/>
    <n v="0"/>
    <m/>
    <n v="6000000000"/>
    <n v="0.3"/>
    <n v="0"/>
    <m/>
    <n v="5037120721"/>
    <n v="0"/>
    <m/>
    <n v="0"/>
    <m/>
    <m/>
    <n v="0"/>
    <m/>
    <m/>
    <n v="6583333741"/>
    <n v="11620454462"/>
    <m/>
    <n v="11620454462"/>
    <b v="0"/>
    <b v="0"/>
  </r>
  <r>
    <x v="0"/>
    <x v="8"/>
    <x v="12"/>
    <x v="12"/>
    <x v="51"/>
    <n v="19946177885"/>
    <m/>
    <n v="19946177885"/>
    <x v="22"/>
    <x v="50"/>
    <s v="SI"/>
    <x v="2"/>
    <x v="0"/>
    <s v="Contratación Directa - Convenio/Contratos Interadministrativos"/>
    <x v="4"/>
    <x v="0"/>
    <x v="0"/>
    <m/>
    <x v="0"/>
    <x v="2"/>
    <x v="0"/>
    <m/>
    <m/>
    <m/>
    <m/>
    <m/>
    <m/>
    <m/>
    <m/>
    <x v="0"/>
    <d v="2025-08-15T00:00:00"/>
    <d v="2025-12-31T00:00:00"/>
    <s v="Ver notas del contrato de Pondaje"/>
    <n v="0"/>
    <m/>
    <n v="78852272"/>
    <n v="0.1"/>
    <n v="110393181"/>
    <n v="0.14000000000000001"/>
    <n v="31540909"/>
    <n v="0.04"/>
    <n v="110393181"/>
    <n v="0.14000000000000001"/>
    <n v="63081818"/>
    <n v="0.08"/>
    <n v="20000000000"/>
    <n v="0"/>
    <m/>
    <n v="157704545"/>
    <n v="0.2"/>
    <n v="236556817"/>
    <n v="0.3"/>
    <m/>
    <m/>
    <m/>
    <n v="20000000000"/>
    <m/>
    <n v="20000000000"/>
    <b v="0"/>
    <b v="0"/>
  </r>
  <r>
    <x v="0"/>
    <x v="8"/>
    <x v="12"/>
    <x v="12"/>
    <x v="52"/>
    <n v="654227492"/>
    <m/>
    <n v="654227492"/>
    <x v="23"/>
    <x v="48"/>
    <s v="SI"/>
    <x v="1"/>
    <x v="0"/>
    <s v="Contratación Directa - Convenio/Contratos Interadministrativos (2.000 millones)"/>
    <x v="2"/>
    <x v="0"/>
    <x v="0"/>
    <m/>
    <x v="7"/>
    <x v="3"/>
    <x v="6"/>
    <s v="Janeisy Katina Riascos"/>
    <m/>
    <m/>
    <m/>
    <m/>
    <s v="POR DEFINIR"/>
    <m/>
    <s v="POR DEFINIR"/>
    <x v="0"/>
    <s v="Por definir con Sec Gobierno"/>
    <d v="2026-03-30T00:00:00"/>
    <s v="46568 Pago total del subsidio asignado por hogar_x000a_Vigencia futura el 50% del contrato"/>
    <n v="0"/>
    <n v="0"/>
    <n v="1994617788"/>
    <n v="0.1"/>
    <n v="2792464903"/>
    <n v="0.14000000000000001"/>
    <n v="797847115"/>
    <n v="0.04"/>
    <n v="2207863625"/>
    <n v="0.14000000000000001"/>
    <n v="1261636357"/>
    <n v="0.08"/>
    <n v="2198106510"/>
    <n v="0"/>
    <m/>
    <n v="3154090893"/>
    <n v="0.2"/>
    <n v="4731136339"/>
    <n v="0.3"/>
    <m/>
    <m/>
    <n v="1301893490"/>
    <n v="3500000000"/>
    <m/>
    <n v="3500000000"/>
    <b v="0"/>
    <b v="0"/>
  </r>
  <r>
    <x v="1"/>
    <x v="0"/>
    <x v="13"/>
    <x v="13"/>
    <x v="53"/>
    <n v="4027289954"/>
    <n v="0"/>
    <n v="4027289954"/>
    <x v="0"/>
    <x v="51"/>
    <m/>
    <x v="4"/>
    <x v="1"/>
    <m/>
    <x v="0"/>
    <x v="0"/>
    <x v="1"/>
    <m/>
    <x v="0"/>
    <x v="2"/>
    <x v="0"/>
    <m/>
    <m/>
    <m/>
    <m/>
    <m/>
    <m/>
    <m/>
    <m/>
    <x v="0"/>
    <d v="2025-10-15T00:00:00"/>
    <d v="2026-08-15T00:00:00"/>
    <s v="Actas parciales"/>
    <m/>
    <m/>
    <m/>
    <m/>
    <m/>
    <m/>
    <m/>
    <m/>
    <m/>
    <m/>
    <n v="1077300062.5"/>
    <m/>
    <n v="1077300062.5"/>
    <m/>
    <m/>
    <m/>
    <m/>
    <m/>
    <m/>
    <m/>
    <m/>
    <n v="3231900187.5"/>
    <n v="4309200250"/>
    <m/>
    <n v="4309200250"/>
    <b v="0"/>
    <b v="0"/>
  </r>
  <r>
    <x v="1"/>
    <x v="0"/>
    <x v="13"/>
    <x v="13"/>
    <x v="54"/>
    <n v="281910296"/>
    <n v="0"/>
    <n v="281910296"/>
    <x v="1"/>
    <x v="51"/>
    <m/>
    <x v="4"/>
    <x v="1"/>
    <m/>
    <x v="0"/>
    <x v="0"/>
    <x v="0"/>
    <m/>
    <x v="0"/>
    <x v="2"/>
    <x v="0"/>
    <m/>
    <m/>
    <m/>
    <m/>
    <m/>
    <m/>
    <m/>
    <m/>
    <x v="0"/>
    <d v="2025-10-15T00:00:00"/>
    <d v="2026-08-15T00:00:00"/>
    <s v="Actas parciales"/>
    <m/>
    <m/>
    <m/>
    <m/>
    <m/>
    <m/>
    <m/>
    <m/>
    <m/>
    <m/>
    <n v="1077300062.5"/>
    <m/>
    <n v="1077300062.5"/>
    <m/>
    <m/>
    <m/>
    <m/>
    <m/>
    <m/>
    <m/>
    <m/>
    <n v="3231900187.5"/>
    <n v="4309200250"/>
    <m/>
    <n v="4309200250"/>
    <b v="0"/>
    <b v="0"/>
  </r>
  <r>
    <x v="1"/>
    <x v="0"/>
    <x v="14"/>
    <x v="14"/>
    <x v="55"/>
    <n v="600000000"/>
    <n v="0"/>
    <n v="600000000"/>
    <x v="24"/>
    <x v="52"/>
    <m/>
    <x v="4"/>
    <x v="1"/>
    <m/>
    <x v="0"/>
    <x v="0"/>
    <x v="0"/>
    <m/>
    <x v="0"/>
    <x v="2"/>
    <x v="0"/>
    <m/>
    <m/>
    <m/>
    <m/>
    <m/>
    <m/>
    <m/>
    <m/>
    <x v="0"/>
    <d v="2025-09-30T00:00:00"/>
    <d v="2026-01-31T00:00:00"/>
    <s v="Entrega de módulos"/>
    <m/>
    <m/>
    <m/>
    <m/>
    <m/>
    <m/>
    <m/>
    <m/>
    <m/>
    <m/>
    <n v="180000000"/>
    <m/>
    <n v="180000000"/>
    <m/>
    <m/>
    <m/>
    <m/>
    <m/>
    <m/>
    <m/>
    <m/>
    <n v="420000000"/>
    <n v="600000000"/>
    <m/>
    <n v="600000000"/>
    <b v="1"/>
    <b v="1"/>
  </r>
  <r>
    <x v="1"/>
    <x v="0"/>
    <x v="14"/>
    <x v="14"/>
    <x v="56"/>
    <n v="433374714"/>
    <n v="0"/>
    <n v="433374714"/>
    <x v="14"/>
    <x v="53"/>
    <m/>
    <x v="4"/>
    <x v="1"/>
    <m/>
    <x v="0"/>
    <x v="0"/>
    <x v="0"/>
    <m/>
    <x v="0"/>
    <x v="2"/>
    <x v="0"/>
    <m/>
    <m/>
    <m/>
    <m/>
    <m/>
    <m/>
    <m/>
    <m/>
    <x v="0"/>
    <d v="2025-10-10T00:00:00"/>
    <d v="2026-02-28T00:00:00"/>
    <s v="Actas parciales"/>
    <m/>
    <m/>
    <m/>
    <m/>
    <m/>
    <m/>
    <m/>
    <m/>
    <m/>
    <m/>
    <n v="473999017"/>
    <m/>
    <n v="473999017"/>
    <m/>
    <m/>
    <m/>
    <m/>
    <m/>
    <m/>
    <m/>
    <m/>
    <n v="1421997051"/>
    <n v="1895996068"/>
    <m/>
    <n v="1895996068"/>
    <b v="0"/>
    <b v="0"/>
  </r>
  <r>
    <x v="1"/>
    <x v="0"/>
    <x v="14"/>
    <x v="14"/>
    <x v="57"/>
    <n v="422539056"/>
    <n v="0"/>
    <n v="422539056"/>
    <x v="25"/>
    <x v="54"/>
    <m/>
    <x v="4"/>
    <x v="1"/>
    <m/>
    <x v="0"/>
    <x v="0"/>
    <x v="0"/>
    <m/>
    <x v="0"/>
    <x v="2"/>
    <x v="0"/>
    <m/>
    <m/>
    <m/>
    <m/>
    <m/>
    <m/>
    <m/>
    <m/>
    <x v="0"/>
    <d v="2025-10-10T00:00:00"/>
    <d v="2026-02-28T00:00:00"/>
    <s v="Compra"/>
    <m/>
    <m/>
    <m/>
    <m/>
    <m/>
    <m/>
    <m/>
    <m/>
    <m/>
    <m/>
    <n v="379072356.75"/>
    <m/>
    <n v="379072356.75"/>
    <m/>
    <m/>
    <m/>
    <m/>
    <m/>
    <m/>
    <m/>
    <m/>
    <n v="1137217070.25"/>
    <n v="1516289427"/>
    <m/>
    <n v="1516289427"/>
    <b v="0"/>
    <b v="0"/>
  </r>
  <r>
    <x v="1"/>
    <x v="0"/>
    <x v="14"/>
    <x v="14"/>
    <x v="58"/>
    <n v="30336230"/>
    <n v="0"/>
    <n v="30336230"/>
    <x v="26"/>
    <x v="55"/>
    <m/>
    <x v="4"/>
    <x v="1"/>
    <m/>
    <x v="0"/>
    <x v="0"/>
    <x v="0"/>
    <m/>
    <x v="0"/>
    <x v="2"/>
    <x v="0"/>
    <m/>
    <m/>
    <m/>
    <m/>
    <m/>
    <m/>
    <m/>
    <m/>
    <x v="0"/>
    <d v="2025-10-10T00:00:00"/>
    <d v="2026-02-28T00:00:00"/>
    <s v="Actas parciales"/>
    <m/>
    <m/>
    <m/>
    <m/>
    <m/>
    <m/>
    <m/>
    <m/>
    <m/>
    <m/>
    <n v="33178626.25"/>
    <m/>
    <n v="33178626.25"/>
    <m/>
    <m/>
    <m/>
    <m/>
    <m/>
    <m/>
    <m/>
    <m/>
    <n v="99535878.75"/>
    <n v="132714505"/>
    <m/>
    <n v="132714505"/>
    <b v="0"/>
    <b v="0"/>
  </r>
  <r>
    <x v="1"/>
    <x v="0"/>
    <x v="14"/>
    <x v="14"/>
    <x v="59"/>
    <n v="1300124142"/>
    <n v="0"/>
    <n v="1300124142"/>
    <x v="0"/>
    <x v="56"/>
    <m/>
    <x v="4"/>
    <x v="1"/>
    <m/>
    <x v="0"/>
    <x v="0"/>
    <x v="1"/>
    <m/>
    <x v="0"/>
    <x v="2"/>
    <x v="0"/>
    <m/>
    <m/>
    <m/>
    <m/>
    <m/>
    <m/>
    <m/>
    <m/>
    <x v="0"/>
    <d v="2026-05-04T00:00:00"/>
    <d v="2026-08-15T00:00:00"/>
    <s v="Actas parciales"/>
    <m/>
    <m/>
    <m/>
    <m/>
    <m/>
    <m/>
    <m/>
    <m/>
    <m/>
    <m/>
    <n v="1077300062.5"/>
    <m/>
    <n v="1077300062.5"/>
    <m/>
    <m/>
    <m/>
    <m/>
    <m/>
    <m/>
    <m/>
    <m/>
    <n v="3231900187.5"/>
    <n v="4309200250"/>
    <m/>
    <n v="4309200250"/>
    <b v="0"/>
    <b v="0"/>
  </r>
  <r>
    <x v="1"/>
    <x v="0"/>
    <x v="14"/>
    <x v="14"/>
    <x v="60"/>
    <n v="1267617168"/>
    <n v="0"/>
    <n v="1267617168"/>
    <x v="27"/>
    <x v="56"/>
    <m/>
    <x v="4"/>
    <x v="1"/>
    <m/>
    <x v="0"/>
    <x v="0"/>
    <x v="0"/>
    <m/>
    <x v="0"/>
    <x v="2"/>
    <x v="0"/>
    <m/>
    <m/>
    <m/>
    <m/>
    <m/>
    <m/>
    <m/>
    <m/>
    <x v="0"/>
    <d v="2026-05-30T00:00:00"/>
    <d v="2026-08-15T00:00:00"/>
    <s v="Actas parciales"/>
    <m/>
    <m/>
    <m/>
    <m/>
    <m/>
    <m/>
    <m/>
    <m/>
    <m/>
    <m/>
    <n v="1077300062.5"/>
    <m/>
    <n v="1077300062.5"/>
    <m/>
    <m/>
    <m/>
    <m/>
    <m/>
    <m/>
    <m/>
    <m/>
    <n v="3231900187.5"/>
    <n v="4309200250"/>
    <m/>
    <n v="4309200250"/>
    <b v="0"/>
    <b v="0"/>
  </r>
  <r>
    <x v="1"/>
    <x v="0"/>
    <x v="14"/>
    <x v="14"/>
    <x v="61"/>
    <n v="91008689.940000027"/>
    <m/>
    <n v="91008689.940000027"/>
    <x v="1"/>
    <x v="56"/>
    <m/>
    <x v="5"/>
    <x v="2"/>
    <m/>
    <x v="0"/>
    <x v="2"/>
    <x v="0"/>
    <m/>
    <x v="0"/>
    <x v="2"/>
    <x v="0"/>
    <m/>
    <m/>
    <m/>
    <m/>
    <m/>
    <m/>
    <m/>
    <m/>
    <x v="0"/>
    <d v="2026-05-04T00:00:00"/>
    <m/>
    <m/>
    <m/>
    <m/>
    <m/>
    <m/>
    <m/>
    <m/>
    <m/>
    <m/>
    <m/>
    <m/>
    <m/>
    <m/>
    <m/>
    <m/>
    <m/>
    <m/>
    <m/>
    <m/>
    <m/>
    <m/>
    <m/>
    <m/>
    <m/>
    <m/>
    <m/>
    <m/>
    <m/>
  </r>
  <r>
    <x v="1"/>
    <x v="1"/>
    <x v="15"/>
    <x v="15"/>
    <x v="62"/>
    <n v="39000000000"/>
    <n v="0"/>
    <n v="39000000000"/>
    <x v="28"/>
    <x v="51"/>
    <m/>
    <x v="4"/>
    <x v="1"/>
    <m/>
    <x v="0"/>
    <x v="0"/>
    <x v="1"/>
    <m/>
    <x v="0"/>
    <x v="2"/>
    <x v="0"/>
    <m/>
    <m/>
    <m/>
    <m/>
    <m/>
    <d v="2025-12-05T00:00:00"/>
    <m/>
    <d v="2025-12-20T00:00:00"/>
    <x v="0"/>
    <d v="2026-03-20T00:00:00"/>
    <m/>
    <m/>
    <m/>
    <m/>
    <m/>
    <m/>
    <m/>
    <m/>
    <m/>
    <m/>
    <m/>
    <m/>
    <m/>
    <m/>
    <n v="11700000000"/>
    <m/>
    <m/>
    <m/>
    <m/>
    <m/>
    <m/>
    <m/>
    <m/>
    <n v="23400000000"/>
    <n v="35100000000"/>
    <n v="3900000000"/>
    <n v="39000000000"/>
    <b v="0"/>
    <b v="1"/>
  </r>
  <r>
    <x v="1"/>
    <x v="2"/>
    <x v="16"/>
    <x v="16"/>
    <x v="63"/>
    <m/>
    <n v="79520253.100000009"/>
    <n v="79520253.100000009"/>
    <x v="8"/>
    <x v="57"/>
    <m/>
    <x v="4"/>
    <x v="1"/>
    <m/>
    <x v="0"/>
    <x v="0"/>
    <x v="0"/>
    <m/>
    <x v="0"/>
    <x v="2"/>
    <x v="0"/>
    <m/>
    <m/>
    <m/>
    <m/>
    <m/>
    <m/>
    <m/>
    <m/>
    <x v="0"/>
    <d v="2025-09-20T00:00:00"/>
    <d v="2026-03-30T00:00:00"/>
    <s v="Según los pliegos"/>
    <m/>
    <m/>
    <m/>
    <m/>
    <m/>
    <m/>
    <m/>
    <m/>
    <m/>
    <m/>
    <m/>
    <m/>
    <n v="63616202.480000004"/>
    <m/>
    <m/>
    <m/>
    <m/>
    <m/>
    <m/>
    <m/>
    <m/>
    <n v="15904050.620000003"/>
    <n v="79520253.100000009"/>
    <m/>
    <n v="79520253.100000009"/>
    <b v="1"/>
    <b v="1"/>
  </r>
  <r>
    <x v="1"/>
    <x v="2"/>
    <x v="17"/>
    <x v="17"/>
    <x v="64"/>
    <n v="600000000"/>
    <n v="0"/>
    <n v="600000000"/>
    <x v="3"/>
    <x v="51"/>
    <m/>
    <x v="4"/>
    <x v="1"/>
    <m/>
    <x v="0"/>
    <x v="0"/>
    <x v="0"/>
    <m/>
    <x v="0"/>
    <x v="2"/>
    <x v="0"/>
    <m/>
    <m/>
    <m/>
    <m/>
    <m/>
    <m/>
    <m/>
    <m/>
    <x v="0"/>
    <d v="2025-11-01T00:00:00"/>
    <d v="2026-03-30T00:00:00"/>
    <s v="Según los pliegos"/>
    <m/>
    <m/>
    <m/>
    <m/>
    <m/>
    <m/>
    <m/>
    <m/>
    <m/>
    <m/>
    <m/>
    <m/>
    <n v="300000000"/>
    <m/>
    <m/>
    <m/>
    <m/>
    <m/>
    <m/>
    <m/>
    <m/>
    <n v="300000000"/>
    <n v="600000000"/>
    <m/>
    <n v="600000000"/>
    <b v="1"/>
    <b v="1"/>
  </r>
  <r>
    <x v="1"/>
    <x v="2"/>
    <x v="17"/>
    <x v="17"/>
    <x v="65"/>
    <m/>
    <n v="641642500"/>
    <n v="641642500"/>
    <x v="7"/>
    <x v="6"/>
    <m/>
    <x v="6"/>
    <x v="0"/>
    <s v="Concurso de Méritos"/>
    <x v="3"/>
    <x v="0"/>
    <x v="2"/>
    <m/>
    <x v="0"/>
    <x v="2"/>
    <x v="0"/>
    <m/>
    <m/>
    <m/>
    <m/>
    <m/>
    <m/>
    <m/>
    <m/>
    <x v="0"/>
    <d v="2025-11-01T00:00:00"/>
    <d v="2026-05-30T00:00:00"/>
    <s v="Según los pliegos"/>
    <m/>
    <m/>
    <m/>
    <m/>
    <m/>
    <m/>
    <m/>
    <m/>
    <m/>
    <m/>
    <m/>
    <m/>
    <n v="513314000"/>
    <m/>
    <m/>
    <m/>
    <m/>
    <m/>
    <m/>
    <m/>
    <m/>
    <n v="128328500"/>
    <n v="641642500"/>
    <m/>
    <n v="641642500"/>
    <b v="1"/>
    <b v="1"/>
  </r>
  <r>
    <x v="1"/>
    <x v="2"/>
    <x v="16"/>
    <x v="16"/>
    <x v="66"/>
    <n v="1590405062"/>
    <n v="0"/>
    <n v="1510884808.9000001"/>
    <x v="7"/>
    <x v="58"/>
    <m/>
    <x v="4"/>
    <x v="1"/>
    <m/>
    <x v="0"/>
    <x v="0"/>
    <x v="0"/>
    <m/>
    <x v="0"/>
    <x v="2"/>
    <x v="0"/>
    <m/>
    <m/>
    <m/>
    <m/>
    <m/>
    <m/>
    <m/>
    <m/>
    <x v="0"/>
    <d v="2025-11-01T00:00:00"/>
    <d v="2026-03-30T00:00:00"/>
    <s v="Según los pliegos"/>
    <m/>
    <m/>
    <m/>
    <m/>
    <m/>
    <m/>
    <m/>
    <m/>
    <m/>
    <m/>
    <m/>
    <m/>
    <n v="1208707847.1200001"/>
    <m/>
    <m/>
    <m/>
    <m/>
    <m/>
    <m/>
    <m/>
    <m/>
    <n v="302176961.78000003"/>
    <n v="1510884808.9000001"/>
    <m/>
    <n v="1510884808.9000001"/>
    <b v="1"/>
    <b v="1"/>
  </r>
  <r>
    <x v="1"/>
    <x v="2"/>
    <x v="17"/>
    <x v="17"/>
    <x v="67"/>
    <n v="2355000000"/>
    <n v="0"/>
    <n v="2355000000"/>
    <x v="7"/>
    <x v="59"/>
    <m/>
    <x v="4"/>
    <x v="1"/>
    <m/>
    <x v="0"/>
    <x v="0"/>
    <x v="0"/>
    <m/>
    <x v="0"/>
    <x v="2"/>
    <x v="0"/>
    <m/>
    <m/>
    <m/>
    <m/>
    <m/>
    <m/>
    <m/>
    <m/>
    <x v="0"/>
    <d v="2025-11-01T00:00:00"/>
    <d v="2026-03-30T00:00:00"/>
    <s v="Según los pliegos"/>
    <m/>
    <m/>
    <m/>
    <m/>
    <m/>
    <m/>
    <m/>
    <m/>
    <m/>
    <m/>
    <m/>
    <m/>
    <n v="1884000000"/>
    <m/>
    <m/>
    <m/>
    <m/>
    <m/>
    <m/>
    <m/>
    <m/>
    <n v="471000000"/>
    <n v="2355000000"/>
    <m/>
    <n v="2355000000"/>
    <b v="1"/>
    <b v="1"/>
  </r>
  <r>
    <x v="1"/>
    <x v="2"/>
    <x v="17"/>
    <x v="17"/>
    <x v="68"/>
    <n v="12832850000"/>
    <n v="0"/>
    <n v="12191207500"/>
    <x v="7"/>
    <x v="60"/>
    <m/>
    <x v="4"/>
    <x v="1"/>
    <m/>
    <x v="0"/>
    <x v="0"/>
    <x v="1"/>
    <m/>
    <x v="0"/>
    <x v="2"/>
    <x v="0"/>
    <m/>
    <m/>
    <m/>
    <m/>
    <m/>
    <m/>
    <m/>
    <m/>
    <x v="0"/>
    <d v="2025-11-01T00:00:00"/>
    <m/>
    <m/>
    <m/>
    <m/>
    <m/>
    <m/>
    <m/>
    <m/>
    <m/>
    <m/>
    <m/>
    <m/>
    <m/>
    <m/>
    <n v="9752966000"/>
    <m/>
    <m/>
    <m/>
    <m/>
    <m/>
    <m/>
    <m/>
    <m/>
    <n v="2438241500"/>
    <n v="12191207500"/>
    <m/>
    <n v="12191207500"/>
    <b v="1"/>
    <b v="1"/>
  </r>
  <r>
    <x v="1"/>
    <x v="4"/>
    <x v="6"/>
    <x v="18"/>
    <x v="69"/>
    <n v="13500000000"/>
    <m/>
    <n v="13500000000"/>
    <x v="29"/>
    <x v="51"/>
    <m/>
    <x v="4"/>
    <x v="1"/>
    <m/>
    <x v="0"/>
    <x v="0"/>
    <x v="1"/>
    <m/>
    <x v="0"/>
    <x v="2"/>
    <x v="0"/>
    <m/>
    <m/>
    <m/>
    <m/>
    <m/>
    <d v="2025-05-18T00:00:00"/>
    <m/>
    <d v="2025-06-02T00:00:00"/>
    <x v="0"/>
    <d v="2025-08-31T00:00:00"/>
    <m/>
    <m/>
    <m/>
    <m/>
    <m/>
    <m/>
    <m/>
    <m/>
    <m/>
    <m/>
    <m/>
    <m/>
    <m/>
    <m/>
    <n v="0"/>
    <m/>
    <m/>
    <m/>
    <m/>
    <m/>
    <m/>
    <m/>
    <m/>
    <n v="74289347590"/>
    <n v="74289347590"/>
    <n v="32421154785"/>
    <n v="106710502375"/>
    <b v="0"/>
    <b v="0"/>
  </r>
  <r>
    <x v="1"/>
    <x v="4"/>
    <x v="18"/>
    <x v="19"/>
    <x v="70"/>
    <n v="96039452137.5"/>
    <m/>
    <n v="96039452137.5"/>
    <x v="30"/>
    <x v="56"/>
    <m/>
    <x v="4"/>
    <x v="1"/>
    <m/>
    <x v="0"/>
    <x v="1"/>
    <x v="1"/>
    <m/>
    <x v="0"/>
    <x v="2"/>
    <x v="0"/>
    <m/>
    <m/>
    <m/>
    <m/>
    <m/>
    <d v="2026-04-17T00:00:00"/>
    <m/>
    <d v="2026-05-02T00:00:00"/>
    <x v="0"/>
    <d v="2026-07-31T00:00:00"/>
    <m/>
    <m/>
    <m/>
    <m/>
    <m/>
    <m/>
    <m/>
    <m/>
    <m/>
    <m/>
    <m/>
    <m/>
    <m/>
    <m/>
    <m/>
    <m/>
    <m/>
    <m/>
    <m/>
    <m/>
    <m/>
    <m/>
    <m/>
    <n v="0"/>
    <n v="0"/>
    <n v="0"/>
    <n v="0"/>
    <b v="0"/>
    <b v="0"/>
  </r>
  <r>
    <x v="1"/>
    <x v="4"/>
    <x v="18"/>
    <x v="19"/>
    <x v="71"/>
    <n v="9603945213.75"/>
    <m/>
    <n v="9603945213.75"/>
    <x v="31"/>
    <x v="56"/>
    <m/>
    <x v="4"/>
    <x v="1"/>
    <m/>
    <x v="0"/>
    <x v="0"/>
    <x v="1"/>
    <m/>
    <x v="0"/>
    <x v="2"/>
    <x v="0"/>
    <m/>
    <m/>
    <m/>
    <m/>
    <m/>
    <d v="2026-03-04T00:00:00"/>
    <m/>
    <d v="2026-03-19T00:00:00"/>
    <x v="0"/>
    <d v="2026-06-17T00:00:00"/>
    <m/>
    <m/>
    <m/>
    <m/>
    <m/>
    <m/>
    <m/>
    <m/>
    <m/>
    <m/>
    <m/>
    <m/>
    <m/>
    <m/>
    <n v="0"/>
    <m/>
    <m/>
    <m/>
    <m/>
    <m/>
    <m/>
    <m/>
    <m/>
    <n v="74289347590"/>
    <n v="74289347590"/>
    <n v="32421154785"/>
    <n v="106710502375"/>
    <b v="0"/>
    <b v="0"/>
  </r>
  <r>
    <x v="1"/>
    <x v="4"/>
    <x v="18"/>
    <x v="19"/>
    <x v="72"/>
    <n v="1067105023.75"/>
    <m/>
    <n v="1067105023.75"/>
    <x v="32"/>
    <x v="56"/>
    <m/>
    <x v="4"/>
    <x v="1"/>
    <m/>
    <x v="0"/>
    <x v="0"/>
    <x v="1"/>
    <m/>
    <x v="0"/>
    <x v="2"/>
    <x v="0"/>
    <m/>
    <m/>
    <m/>
    <m/>
    <m/>
    <d v="2026-03-04T00:00:00"/>
    <m/>
    <d v="2026-03-19T00:00:00"/>
    <x v="0"/>
    <d v="2026-06-17T00:00:00"/>
    <m/>
    <m/>
    <m/>
    <m/>
    <m/>
    <m/>
    <m/>
    <m/>
    <m/>
    <m/>
    <m/>
    <m/>
    <m/>
    <m/>
    <n v="0"/>
    <m/>
    <m/>
    <m/>
    <m/>
    <m/>
    <m/>
    <m/>
    <m/>
    <n v="74289347590"/>
    <n v="74289347590"/>
    <n v="32421154785"/>
    <n v="106710502375"/>
    <b v="0"/>
    <b v="0"/>
  </r>
  <r>
    <x v="1"/>
    <x v="5"/>
    <x v="8"/>
    <x v="8"/>
    <x v="73"/>
    <n v="13895959782"/>
    <m/>
    <n v="13895959782"/>
    <x v="10"/>
    <x v="56"/>
    <m/>
    <x v="7"/>
    <x v="3"/>
    <m/>
    <x v="0"/>
    <x v="0"/>
    <x v="1"/>
    <m/>
    <x v="0"/>
    <x v="2"/>
    <x v="0"/>
    <m/>
    <m/>
    <m/>
    <m/>
    <m/>
    <s v="POR DEFINIR"/>
    <m/>
    <s v="POR DEFINIR"/>
    <x v="0"/>
    <s v="POR DEFINIR"/>
    <s v="XD"/>
    <s v="XD"/>
    <m/>
    <m/>
    <m/>
    <m/>
    <m/>
    <m/>
    <m/>
    <m/>
    <m/>
    <m/>
    <m/>
    <m/>
    <n v="13895959782"/>
    <m/>
    <m/>
    <m/>
    <m/>
    <m/>
    <m/>
    <m/>
    <m/>
    <m/>
    <n v="13895959782"/>
    <m/>
    <n v="13895959782"/>
    <b v="1"/>
    <b v="1"/>
  </r>
  <r>
    <x v="1"/>
    <x v="6"/>
    <x v="10"/>
    <x v="10"/>
    <x v="74"/>
    <n v="1996405202"/>
    <n v="0"/>
    <n v="197096447869"/>
    <x v="0"/>
    <x v="56"/>
    <m/>
    <x v="4"/>
    <x v="1"/>
    <m/>
    <x v="0"/>
    <x v="3"/>
    <x v="0"/>
    <m/>
    <x v="0"/>
    <x v="2"/>
    <x v="0"/>
    <m/>
    <m/>
    <m/>
    <m/>
    <m/>
    <m/>
    <m/>
    <m/>
    <x v="0"/>
    <d v="2026-04-20T00:00:00"/>
    <m/>
    <m/>
    <m/>
    <m/>
    <m/>
    <m/>
    <m/>
    <m/>
    <m/>
    <m/>
    <m/>
    <m/>
    <m/>
    <m/>
    <m/>
    <m/>
    <m/>
    <m/>
    <m/>
    <m/>
    <m/>
    <m/>
    <m/>
    <n v="1996405202"/>
    <n v="1996405202"/>
    <m/>
    <n v="1996405202"/>
    <b v="1"/>
    <b v="1"/>
  </r>
  <r>
    <x v="1"/>
    <x v="6"/>
    <x v="10"/>
    <x v="10"/>
    <x v="75"/>
    <n v="41211968407"/>
    <n v="0"/>
    <n v="41211968407"/>
    <x v="18"/>
    <x v="56"/>
    <m/>
    <x v="4"/>
    <x v="1"/>
    <m/>
    <x v="0"/>
    <x v="0"/>
    <x v="0"/>
    <m/>
    <x v="0"/>
    <x v="2"/>
    <x v="0"/>
    <m/>
    <m/>
    <m/>
    <m/>
    <m/>
    <m/>
    <m/>
    <m/>
    <x v="0"/>
    <d v="2026-02-05T00:00:00"/>
    <m/>
    <m/>
    <m/>
    <m/>
    <m/>
    <m/>
    <m/>
    <m/>
    <m/>
    <m/>
    <m/>
    <m/>
    <m/>
    <m/>
    <m/>
    <m/>
    <m/>
    <m/>
    <m/>
    <m/>
    <m/>
    <m/>
    <m/>
    <n v="41211968407"/>
    <n v="41211968407"/>
    <m/>
    <n v="41211968407"/>
    <b v="1"/>
    <b v="1"/>
  </r>
  <r>
    <x v="1"/>
    <x v="6"/>
    <x v="10"/>
    <x v="10"/>
    <x v="76"/>
    <n v="27000000000"/>
    <n v="0"/>
    <n v="27000000000"/>
    <x v="0"/>
    <x v="56"/>
    <m/>
    <x v="4"/>
    <x v="1"/>
    <m/>
    <x v="0"/>
    <x v="0"/>
    <x v="0"/>
    <m/>
    <x v="0"/>
    <x v="2"/>
    <x v="0"/>
    <m/>
    <m/>
    <m/>
    <m/>
    <m/>
    <m/>
    <m/>
    <m/>
    <x v="0"/>
    <d v="2026-05-22T00:00:00"/>
    <m/>
    <m/>
    <m/>
    <m/>
    <m/>
    <m/>
    <m/>
    <m/>
    <m/>
    <m/>
    <m/>
    <m/>
    <m/>
    <m/>
    <m/>
    <m/>
    <m/>
    <m/>
    <m/>
    <m/>
    <m/>
    <m/>
    <m/>
    <n v="27000000000"/>
    <n v="27000000000"/>
    <m/>
    <n v="27000000000"/>
    <b v="1"/>
    <b v="1"/>
  </r>
  <r>
    <x v="1"/>
    <x v="6"/>
    <x v="10"/>
    <x v="10"/>
    <x v="77"/>
    <m/>
    <n v="3000000000"/>
    <n v="5134692058.8400002"/>
    <x v="33"/>
    <x v="56"/>
    <m/>
    <x v="4"/>
    <x v="1"/>
    <m/>
    <x v="0"/>
    <x v="0"/>
    <x v="0"/>
    <m/>
    <x v="0"/>
    <x v="2"/>
    <x v="0"/>
    <m/>
    <m/>
    <m/>
    <m/>
    <m/>
    <m/>
    <m/>
    <m/>
    <x v="0"/>
    <d v="2026-05-22T00:00:00"/>
    <m/>
    <m/>
    <m/>
    <m/>
    <m/>
    <m/>
    <m/>
    <m/>
    <m/>
    <m/>
    <m/>
    <m/>
    <m/>
    <m/>
    <m/>
    <m/>
    <m/>
    <m/>
    <m/>
    <m/>
    <m/>
    <m/>
    <m/>
    <n v="3000000000"/>
    <n v="3000000000"/>
    <m/>
    <n v="3000000000"/>
    <b v="0"/>
    <b v="0"/>
  </r>
  <r>
    <x v="1"/>
    <x v="7"/>
    <x v="11"/>
    <x v="11"/>
    <x v="78"/>
    <m/>
    <n v="593000800"/>
    <n v="593000800"/>
    <x v="34"/>
    <x v="51"/>
    <m/>
    <x v="4"/>
    <x v="1"/>
    <m/>
    <x v="0"/>
    <x v="0"/>
    <x v="0"/>
    <m/>
    <x v="0"/>
    <x v="2"/>
    <x v="0"/>
    <m/>
    <m/>
    <m/>
    <m/>
    <m/>
    <m/>
    <m/>
    <m/>
    <x v="0"/>
    <d v="2025-10-07T00:00:00"/>
    <d v="2026-11-30T00:00:00"/>
    <s v="Actas parciales"/>
    <m/>
    <m/>
    <m/>
    <m/>
    <m/>
    <m/>
    <m/>
    <m/>
    <m/>
    <m/>
    <n v="0"/>
    <m/>
    <n v="0"/>
    <m/>
    <m/>
    <m/>
    <m/>
    <m/>
    <m/>
    <n v="2246927597"/>
    <m/>
    <n v="2246927597"/>
    <n v="2246927597"/>
    <m/>
    <n v="2246927597"/>
    <b v="0"/>
    <b v="0"/>
  </r>
  <r>
    <x v="1"/>
    <x v="7"/>
    <x v="11"/>
    <x v="11"/>
    <x v="79"/>
    <m/>
    <m/>
    <n v="2400326473"/>
    <x v="35"/>
    <x v="61"/>
    <m/>
    <x v="6"/>
    <x v="0"/>
    <m/>
    <x v="0"/>
    <x v="0"/>
    <x v="0"/>
    <m/>
    <x v="0"/>
    <x v="2"/>
    <x v="0"/>
    <m/>
    <m/>
    <m/>
    <m/>
    <m/>
    <m/>
    <m/>
    <m/>
    <x v="2"/>
    <d v="2025-10-07T00:00:00"/>
    <d v="2026-03-30T00:00:00"/>
    <s v="Actas parciales"/>
    <m/>
    <m/>
    <m/>
    <m/>
    <m/>
    <m/>
    <m/>
    <m/>
    <m/>
    <m/>
    <n v="166433400"/>
    <m/>
    <n v="166433400"/>
    <m/>
    <m/>
    <m/>
    <m/>
    <m/>
    <m/>
    <n v="166433400"/>
    <m/>
    <n v="166433400"/>
    <n v="332866800"/>
    <m/>
    <n v="332866800"/>
    <b v="0"/>
    <b v="0"/>
  </r>
  <r>
    <x v="1"/>
    <x v="7"/>
    <x v="11"/>
    <x v="11"/>
    <x v="44"/>
    <m/>
    <m/>
    <n v="2526155482"/>
    <x v="35"/>
    <x v="56"/>
    <m/>
    <x v="4"/>
    <x v="1"/>
    <m/>
    <x v="0"/>
    <x v="0"/>
    <x v="0"/>
    <m/>
    <x v="0"/>
    <x v="2"/>
    <x v="0"/>
    <m/>
    <m/>
    <m/>
    <m/>
    <m/>
    <m/>
    <m/>
    <m/>
    <x v="0"/>
    <d v="2026-04-02T00:00:00"/>
    <d v="2026-03-30T00:00:00"/>
    <s v="Actas parciales"/>
    <m/>
    <m/>
    <m/>
    <m/>
    <m/>
    <m/>
    <m/>
    <m/>
    <m/>
    <m/>
    <n v="1263077741"/>
    <m/>
    <n v="1263077741"/>
    <n v="0"/>
    <m/>
    <n v="0"/>
    <m/>
    <m/>
    <m/>
    <n v="1263077741"/>
    <m/>
    <n v="1263077741"/>
    <n v="2526155482"/>
    <m/>
    <n v="2526155482"/>
    <b v="1"/>
    <b v="1"/>
  </r>
  <r>
    <x v="1"/>
    <x v="7"/>
    <x v="11"/>
    <x v="11"/>
    <x v="80"/>
    <m/>
    <m/>
    <n v="2672791093"/>
    <x v="36"/>
    <x v="56"/>
    <m/>
    <x v="4"/>
    <x v="1"/>
    <m/>
    <x v="0"/>
    <x v="0"/>
    <x v="0"/>
    <m/>
    <x v="0"/>
    <x v="2"/>
    <x v="0"/>
    <m/>
    <m/>
    <m/>
    <m/>
    <m/>
    <d v="2025-12-18T00:00:00"/>
    <m/>
    <d v="2026-01-02T00:00:00"/>
    <x v="0"/>
    <d v="2026-04-02T00:00:00"/>
    <d v="2026-11-30T00:00:00"/>
    <s v="Actas parciales"/>
    <m/>
    <m/>
    <m/>
    <m/>
    <m/>
    <m/>
    <m/>
    <m/>
    <m/>
    <m/>
    <n v="0"/>
    <m/>
    <n v="0"/>
    <n v="0"/>
    <m/>
    <n v="0"/>
    <m/>
    <m/>
    <m/>
    <n v="7644997527"/>
    <m/>
    <n v="7644997527"/>
    <n v="7644997527"/>
    <m/>
    <n v="7644997527"/>
    <b v="0"/>
    <b v="0"/>
  </r>
  <r>
    <x v="1"/>
    <x v="7"/>
    <x v="11"/>
    <x v="11"/>
    <x v="81"/>
    <m/>
    <n v="853092812"/>
    <n v="853092812"/>
    <x v="34"/>
    <x v="56"/>
    <m/>
    <x v="4"/>
    <x v="1"/>
    <m/>
    <x v="0"/>
    <x v="0"/>
    <x v="0"/>
    <m/>
    <x v="0"/>
    <x v="2"/>
    <x v="0"/>
    <m/>
    <m/>
    <m/>
    <m/>
    <m/>
    <d v="2025-12-18T00:00:00"/>
    <m/>
    <d v="2026-01-02T00:00:00"/>
    <x v="0"/>
    <d v="2026-04-02T00:00:00"/>
    <d v="2026-11-30T00:00:00"/>
    <s v="Actas parciales"/>
    <m/>
    <m/>
    <m/>
    <m/>
    <m/>
    <m/>
    <m/>
    <m/>
    <m/>
    <m/>
    <n v="0"/>
    <m/>
    <n v="0"/>
    <n v="0"/>
    <m/>
    <n v="0"/>
    <m/>
    <m/>
    <m/>
    <n v="7644997527"/>
    <m/>
    <n v="7644997527"/>
    <n v="7644997527"/>
    <m/>
    <n v="7644997527"/>
    <b v="0"/>
    <b v="0"/>
  </r>
  <r>
    <x v="1"/>
    <x v="7"/>
    <x v="11"/>
    <x v="11"/>
    <x v="82"/>
    <m/>
    <m/>
    <n v="2571879961"/>
    <x v="36"/>
    <x v="56"/>
    <m/>
    <x v="4"/>
    <x v="1"/>
    <m/>
    <x v="0"/>
    <x v="0"/>
    <x v="0"/>
    <m/>
    <x v="0"/>
    <x v="2"/>
    <x v="0"/>
    <m/>
    <m/>
    <m/>
    <m/>
    <m/>
    <d v="2025-12-18T00:00:00"/>
    <m/>
    <d v="2026-01-02T00:00:00"/>
    <x v="0"/>
    <d v="2026-04-02T00:00:00"/>
    <d v="2026-11-30T00:00:00"/>
    <s v="Actas parciales"/>
    <m/>
    <m/>
    <m/>
    <m/>
    <m/>
    <m/>
    <m/>
    <m/>
    <m/>
    <m/>
    <n v="0"/>
    <m/>
    <n v="0"/>
    <n v="0"/>
    <m/>
    <n v="0"/>
    <m/>
    <m/>
    <m/>
    <n v="7644997527"/>
    <m/>
    <n v="7644997527"/>
    <n v="7644997527"/>
    <m/>
    <n v="7644997527"/>
    <b v="0"/>
    <b v="0"/>
  </r>
  <r>
    <x v="1"/>
    <x v="7"/>
    <x v="11"/>
    <x v="11"/>
    <x v="83"/>
    <m/>
    <m/>
    <n v="1986793597"/>
    <x v="37"/>
    <x v="56"/>
    <m/>
    <x v="4"/>
    <x v="1"/>
    <m/>
    <x v="0"/>
    <x v="0"/>
    <x v="0"/>
    <m/>
    <x v="0"/>
    <x v="2"/>
    <x v="0"/>
    <m/>
    <m/>
    <m/>
    <m/>
    <m/>
    <m/>
    <m/>
    <m/>
    <x v="0"/>
    <d v="2026-06-01T00:00:00"/>
    <d v="2026-11-30T00:00:00"/>
    <s v="Actas parciales"/>
    <m/>
    <m/>
    <m/>
    <m/>
    <m/>
    <m/>
    <m/>
    <m/>
    <m/>
    <m/>
    <n v="0"/>
    <m/>
    <n v="0"/>
    <m/>
    <m/>
    <m/>
    <m/>
    <m/>
    <m/>
    <n v="853092812"/>
    <m/>
    <n v="853092812"/>
    <n v="853092812"/>
    <m/>
    <n v="853092812"/>
    <b v="0"/>
    <b v="0"/>
  </r>
  <r>
    <x v="1"/>
    <x v="8"/>
    <x v="19"/>
    <x v="20"/>
    <x v="84"/>
    <n v="8220712500"/>
    <m/>
    <n v="8220712500"/>
    <x v="19"/>
    <x v="29"/>
    <m/>
    <x v="4"/>
    <x v="1"/>
    <m/>
    <x v="0"/>
    <x v="0"/>
    <x v="1"/>
    <m/>
    <x v="0"/>
    <x v="2"/>
    <x v="0"/>
    <m/>
    <m/>
    <m/>
    <m/>
    <m/>
    <m/>
    <m/>
    <m/>
    <x v="0"/>
    <d v="2025-09-01T00:00:00"/>
    <s v="XD"/>
    <s v="Según los pliegos"/>
    <m/>
    <m/>
    <m/>
    <m/>
    <m/>
    <m/>
    <m/>
    <m/>
    <m/>
    <m/>
    <m/>
    <m/>
    <n v="4439184750"/>
    <m/>
    <m/>
    <m/>
    <m/>
    <m/>
    <m/>
    <m/>
    <m/>
    <n v="2959456500"/>
    <n v="7398641250"/>
    <n v="0"/>
    <n v="7398641250"/>
    <b v="0"/>
    <b v="0"/>
  </r>
  <r>
    <x v="1"/>
    <x v="8"/>
    <x v="12"/>
    <x v="21"/>
    <x v="85"/>
    <n v="13985845144"/>
    <m/>
    <n v="13985845144"/>
    <x v="22"/>
    <x v="62"/>
    <m/>
    <x v="8"/>
    <x v="0"/>
    <s v="Contratación Directa - Convenio/Contratos Interadministrativos"/>
    <x v="4"/>
    <x v="1"/>
    <x v="1"/>
    <m/>
    <x v="0"/>
    <x v="2"/>
    <x v="0"/>
    <m/>
    <m/>
    <m/>
    <m/>
    <m/>
    <m/>
    <m/>
    <m/>
    <x v="0"/>
    <d v="2025-08-22T00:00:00"/>
    <s v="XD"/>
    <s v="Pago total del subsidio asignado por hogar"/>
    <m/>
    <m/>
    <m/>
    <m/>
    <m/>
    <m/>
    <m/>
    <m/>
    <m/>
    <m/>
    <m/>
    <m/>
    <n v="493242750"/>
    <m/>
    <m/>
    <m/>
    <m/>
    <m/>
    <m/>
    <m/>
    <m/>
    <n v="328828500"/>
    <n v="822071250"/>
    <n v="0"/>
    <n v="822071250"/>
    <b v="0"/>
    <b v="0"/>
  </r>
  <r>
    <x v="1"/>
    <x v="8"/>
    <x v="12"/>
    <x v="21"/>
    <x v="86"/>
    <n v="12811500000"/>
    <m/>
    <n v="12811500000"/>
    <x v="22"/>
    <x v="56"/>
    <m/>
    <x v="4"/>
    <x v="1"/>
    <m/>
    <x v="0"/>
    <x v="0"/>
    <x v="0"/>
    <m/>
    <x v="0"/>
    <x v="2"/>
    <x v="0"/>
    <m/>
    <m/>
    <m/>
    <m/>
    <m/>
    <m/>
    <m/>
    <m/>
    <x v="0"/>
    <d v="2026-01-31T00:00:00"/>
    <s v="XD"/>
    <s v="XD"/>
    <m/>
    <m/>
    <m/>
    <m/>
    <m/>
    <m/>
    <m/>
    <m/>
    <m/>
    <m/>
    <n v="0"/>
    <m/>
    <n v="0"/>
    <m/>
    <m/>
    <m/>
    <m/>
    <m/>
    <m/>
    <n v="0"/>
    <m/>
    <n v="0"/>
    <n v="0"/>
    <m/>
    <n v="0"/>
    <b v="0"/>
    <b v="0"/>
  </r>
  <r>
    <x v="1"/>
    <x v="8"/>
    <x v="12"/>
    <x v="21"/>
    <x v="87"/>
    <n v="5327020700"/>
    <m/>
    <n v="5327020700"/>
    <x v="22"/>
    <x v="29"/>
    <m/>
    <x v="4"/>
    <x v="1"/>
    <m/>
    <x v="0"/>
    <x v="0"/>
    <x v="0"/>
    <m/>
    <x v="0"/>
    <x v="2"/>
    <x v="0"/>
    <m/>
    <m/>
    <m/>
    <m/>
    <m/>
    <m/>
    <m/>
    <m/>
    <x v="0"/>
    <d v="2025-08-22T00:00:00"/>
    <d v="2026-06-30T00:00:00"/>
    <s v="Pago directo a cada propietario según lo paatdo en la promesa de compraventa "/>
    <m/>
    <m/>
    <m/>
    <m/>
    <m/>
    <m/>
    <m/>
    <m/>
    <m/>
    <m/>
    <m/>
    <m/>
    <n v="0"/>
    <m/>
    <m/>
    <m/>
    <m/>
    <m/>
    <m/>
    <m/>
    <m/>
    <n v="2600000000"/>
    <n v="2600000000"/>
    <n v="0"/>
    <n v="2600000000"/>
    <b v="0"/>
    <b v="0"/>
  </r>
  <r>
    <x v="1"/>
    <x v="8"/>
    <x v="12"/>
    <x v="21"/>
    <x v="88"/>
    <n v="2844286726"/>
    <m/>
    <n v="2844286726"/>
    <x v="22"/>
    <x v="56"/>
    <m/>
    <x v="4"/>
    <x v="1"/>
    <m/>
    <x v="0"/>
    <x v="0"/>
    <x v="0"/>
    <m/>
    <x v="0"/>
    <x v="2"/>
    <x v="0"/>
    <m/>
    <m/>
    <m/>
    <m/>
    <m/>
    <d v="2025-10-18T00:00:00"/>
    <m/>
    <d v="2025-11-02T00:00:00"/>
    <x v="0"/>
    <d v="2026-01-31T00:00:00"/>
    <d v="2026-01-31T00:00:00"/>
    <s v="Pago total del subsidio asignado por hogar"/>
    <m/>
    <m/>
    <m/>
    <m/>
    <m/>
    <m/>
    <m/>
    <m/>
    <m/>
    <m/>
    <m/>
    <m/>
    <n v="1598106510"/>
    <m/>
    <m/>
    <m/>
    <m/>
    <m/>
    <m/>
    <m/>
    <m/>
    <n v="3728914189.5"/>
    <n v="5327020700"/>
    <n v="0"/>
    <n v="5327020700"/>
    <b v="0"/>
    <b v="0"/>
  </r>
  <r>
    <x v="1"/>
    <x v="8"/>
    <x v="12"/>
    <x v="21"/>
    <x v="89"/>
    <n v="2600000000"/>
    <m/>
    <n v="2600000000"/>
    <x v="0"/>
    <x v="56"/>
    <m/>
    <x v="4"/>
    <x v="1"/>
    <m/>
    <x v="0"/>
    <x v="0"/>
    <x v="0"/>
    <m/>
    <x v="0"/>
    <x v="2"/>
    <x v="0"/>
    <m/>
    <m/>
    <m/>
    <m/>
    <m/>
    <m/>
    <m/>
    <m/>
    <x v="0"/>
    <d v="2026-01-31T00:00:00"/>
    <d v="2026-01-31T00:00:00"/>
    <s v="Por avance"/>
    <m/>
    <m/>
    <m/>
    <m/>
    <m/>
    <m/>
    <m/>
    <m/>
    <m/>
    <m/>
    <m/>
    <m/>
    <n v="0"/>
    <m/>
    <m/>
    <m/>
    <m/>
    <m/>
    <m/>
    <m/>
    <m/>
    <n v="2827587332"/>
    <n v="2827587332"/>
    <n v="0"/>
    <n v="2827587332"/>
    <b v="0"/>
    <b v="0"/>
  </r>
  <r>
    <x v="2"/>
    <x v="3"/>
    <x v="20"/>
    <x v="22"/>
    <x v="90"/>
    <n v="75148631267"/>
    <m/>
    <n v="75148631267"/>
    <x v="38"/>
    <x v="63"/>
    <m/>
    <x v="5"/>
    <x v="2"/>
    <m/>
    <x v="0"/>
    <x v="2"/>
    <x v="0"/>
    <m/>
    <x v="0"/>
    <x v="2"/>
    <x v="0"/>
    <m/>
    <m/>
    <m/>
    <m/>
    <m/>
    <m/>
    <m/>
    <m/>
    <x v="0"/>
    <s v="Por definir"/>
    <m/>
    <m/>
    <m/>
    <m/>
    <m/>
    <m/>
    <m/>
    <m/>
    <m/>
    <m/>
    <m/>
    <m/>
    <m/>
    <m/>
    <m/>
    <m/>
    <m/>
    <m/>
    <m/>
    <m/>
    <m/>
    <m/>
    <m/>
    <m/>
    <m/>
    <m/>
    <m/>
    <m/>
    <m/>
  </r>
  <r>
    <x v="2"/>
    <x v="5"/>
    <x v="7"/>
    <x v="7"/>
    <x v="91"/>
    <n v="31401869158.878502"/>
    <m/>
    <n v="31401869158.878502"/>
    <x v="39"/>
    <x v="56"/>
    <m/>
    <x v="5"/>
    <x v="2"/>
    <m/>
    <x v="0"/>
    <x v="2"/>
    <x v="0"/>
    <m/>
    <x v="0"/>
    <x v="2"/>
    <x v="0"/>
    <m/>
    <m/>
    <m/>
    <m/>
    <m/>
    <m/>
    <m/>
    <m/>
    <x v="0"/>
    <d v="2026-03-01T00:00:00"/>
    <m/>
    <m/>
    <m/>
    <m/>
    <m/>
    <m/>
    <m/>
    <m/>
    <m/>
    <m/>
    <m/>
    <m/>
    <m/>
    <m/>
    <m/>
    <m/>
    <m/>
    <m/>
    <m/>
    <m/>
    <m/>
    <m/>
    <m/>
    <m/>
    <m/>
    <m/>
    <m/>
    <m/>
    <m/>
  </r>
  <r>
    <x v="2"/>
    <x v="5"/>
    <x v="7"/>
    <x v="7"/>
    <x v="92"/>
    <n v="2198130841.1214981"/>
    <m/>
    <n v="2198130841.1214981"/>
    <x v="40"/>
    <x v="56"/>
    <m/>
    <x v="5"/>
    <x v="2"/>
    <m/>
    <x v="0"/>
    <x v="2"/>
    <x v="0"/>
    <m/>
    <x v="0"/>
    <x v="2"/>
    <x v="0"/>
    <m/>
    <m/>
    <m/>
    <m/>
    <m/>
    <m/>
    <m/>
    <m/>
    <x v="0"/>
    <d v="2026-03-01T00:00:00"/>
    <m/>
    <m/>
    <m/>
    <m/>
    <m/>
    <m/>
    <m/>
    <m/>
    <m/>
    <m/>
    <m/>
    <m/>
    <m/>
    <m/>
    <m/>
    <m/>
    <m/>
    <m/>
    <m/>
    <m/>
    <m/>
    <m/>
    <m/>
    <m/>
    <m/>
    <m/>
    <m/>
    <m/>
    <m/>
  </r>
  <r>
    <x v="2"/>
    <x v="5"/>
    <x v="7"/>
    <x v="7"/>
    <x v="93"/>
    <n v="19090909090.909088"/>
    <m/>
    <n v="19090909090.909088"/>
    <x v="39"/>
    <x v="56"/>
    <m/>
    <x v="5"/>
    <x v="2"/>
    <m/>
    <x v="0"/>
    <x v="2"/>
    <x v="0"/>
    <m/>
    <x v="0"/>
    <x v="2"/>
    <x v="0"/>
    <m/>
    <m/>
    <m/>
    <m/>
    <m/>
    <m/>
    <m/>
    <m/>
    <x v="0"/>
    <d v="2026-03-01T00:00:00"/>
    <m/>
    <m/>
    <m/>
    <m/>
    <m/>
    <m/>
    <m/>
    <m/>
    <m/>
    <m/>
    <m/>
    <m/>
    <m/>
    <m/>
    <m/>
    <m/>
    <m/>
    <m/>
    <m/>
    <m/>
    <m/>
    <m/>
    <m/>
    <m/>
    <m/>
    <m/>
    <m/>
    <m/>
    <m/>
  </r>
  <r>
    <x v="2"/>
    <x v="5"/>
    <x v="7"/>
    <x v="7"/>
    <x v="94"/>
    <n v="1909090909.090909"/>
    <m/>
    <n v="1909090909.090909"/>
    <x v="40"/>
    <x v="56"/>
    <m/>
    <x v="5"/>
    <x v="2"/>
    <m/>
    <x v="0"/>
    <x v="2"/>
    <x v="0"/>
    <m/>
    <x v="0"/>
    <x v="2"/>
    <x v="0"/>
    <m/>
    <m/>
    <m/>
    <m/>
    <m/>
    <m/>
    <m/>
    <m/>
    <x v="0"/>
    <d v="2026-03-01T00:00:00"/>
    <m/>
    <m/>
    <m/>
    <m/>
    <m/>
    <m/>
    <m/>
    <m/>
    <m/>
    <m/>
    <m/>
    <m/>
    <m/>
    <m/>
    <m/>
    <m/>
    <m/>
    <m/>
    <m/>
    <m/>
    <m/>
    <m/>
    <m/>
    <m/>
    <m/>
    <m/>
    <m/>
    <m/>
    <m/>
  </r>
  <r>
    <x v="2"/>
    <x v="5"/>
    <x v="7"/>
    <x v="7"/>
    <x v="95"/>
    <n v="10000000000"/>
    <m/>
    <n v="10000000000"/>
    <x v="39"/>
    <x v="56"/>
    <m/>
    <x v="5"/>
    <x v="2"/>
    <m/>
    <x v="0"/>
    <x v="2"/>
    <x v="0"/>
    <m/>
    <x v="0"/>
    <x v="2"/>
    <x v="0"/>
    <m/>
    <m/>
    <m/>
    <m/>
    <m/>
    <m/>
    <m/>
    <m/>
    <x v="0"/>
    <d v="2026-03-01T00:00:00"/>
    <m/>
    <m/>
    <m/>
    <m/>
    <m/>
    <m/>
    <m/>
    <m/>
    <m/>
    <m/>
    <m/>
    <m/>
    <m/>
    <m/>
    <m/>
    <m/>
    <m/>
    <m/>
    <m/>
    <m/>
    <m/>
    <m/>
    <m/>
    <m/>
    <m/>
    <m/>
    <m/>
    <m/>
    <m/>
  </r>
  <r>
    <x v="2"/>
    <x v="5"/>
    <x v="7"/>
    <x v="7"/>
    <x v="96"/>
    <n v="1000000000"/>
    <m/>
    <n v="1000000000"/>
    <x v="40"/>
    <x v="56"/>
    <m/>
    <x v="5"/>
    <x v="2"/>
    <m/>
    <x v="0"/>
    <x v="2"/>
    <x v="0"/>
    <m/>
    <x v="0"/>
    <x v="2"/>
    <x v="0"/>
    <m/>
    <m/>
    <m/>
    <m/>
    <m/>
    <m/>
    <m/>
    <m/>
    <x v="0"/>
    <d v="2026-03-01T00:00:00"/>
    <m/>
    <m/>
    <m/>
    <m/>
    <m/>
    <m/>
    <m/>
    <m/>
    <m/>
    <m/>
    <m/>
    <m/>
    <m/>
    <m/>
    <m/>
    <m/>
    <m/>
    <m/>
    <m/>
    <m/>
    <m/>
    <m/>
    <m/>
    <m/>
    <m/>
    <m/>
    <m/>
    <m/>
    <m/>
  </r>
  <r>
    <x v="2"/>
    <x v="9"/>
    <x v="21"/>
    <x v="23"/>
    <x v="97"/>
    <n v="50000000000"/>
    <m/>
    <n v="50000000000"/>
    <x v="17"/>
    <x v="51"/>
    <m/>
    <x v="5"/>
    <x v="2"/>
    <m/>
    <x v="0"/>
    <x v="2"/>
    <x v="0"/>
    <m/>
    <x v="0"/>
    <x v="2"/>
    <x v="0"/>
    <m/>
    <m/>
    <m/>
    <m/>
    <m/>
    <m/>
    <m/>
    <m/>
    <x v="0"/>
    <d v="2025-11-17T00:00:00"/>
    <m/>
    <m/>
    <m/>
    <m/>
    <m/>
    <m/>
    <m/>
    <m/>
    <m/>
    <m/>
    <m/>
    <m/>
    <m/>
    <m/>
    <m/>
    <m/>
    <m/>
    <m/>
    <m/>
    <m/>
    <m/>
    <m/>
    <m/>
    <m/>
    <m/>
    <m/>
    <m/>
    <m/>
    <m/>
  </r>
  <r>
    <x v="2"/>
    <x v="10"/>
    <x v="22"/>
    <x v="24"/>
    <x v="98"/>
    <m/>
    <m/>
    <n v="57903850330"/>
    <x v="0"/>
    <x v="56"/>
    <m/>
    <x v="5"/>
    <x v="2"/>
    <m/>
    <x v="0"/>
    <x v="2"/>
    <x v="0"/>
    <m/>
    <x v="0"/>
    <x v="2"/>
    <x v="0"/>
    <m/>
    <m/>
    <m/>
    <m/>
    <m/>
    <m/>
    <m/>
    <m/>
    <x v="0"/>
    <d v="2026-01-20T00:00:00"/>
    <m/>
    <m/>
    <m/>
    <m/>
    <m/>
    <m/>
    <m/>
    <m/>
    <m/>
    <m/>
    <m/>
    <m/>
    <m/>
    <m/>
    <m/>
    <m/>
    <m/>
    <m/>
    <m/>
    <m/>
    <m/>
    <m/>
    <m/>
    <m/>
    <m/>
    <m/>
    <m/>
    <m/>
    <m/>
  </r>
  <r>
    <x v="2"/>
    <x v="10"/>
    <x v="23"/>
    <x v="24"/>
    <x v="99"/>
    <m/>
    <m/>
    <n v="3474231020"/>
    <x v="41"/>
    <x v="56"/>
    <m/>
    <x v="5"/>
    <x v="2"/>
    <m/>
    <x v="0"/>
    <x v="2"/>
    <x v="0"/>
    <m/>
    <x v="0"/>
    <x v="2"/>
    <x v="0"/>
    <m/>
    <m/>
    <m/>
    <m/>
    <m/>
    <m/>
    <m/>
    <m/>
    <x v="0"/>
    <d v="2026-01-20T00:00:00"/>
    <m/>
    <m/>
    <m/>
    <m/>
    <m/>
    <m/>
    <m/>
    <m/>
    <m/>
    <m/>
    <m/>
    <m/>
    <m/>
    <m/>
    <m/>
    <m/>
    <m/>
    <m/>
    <m/>
    <m/>
    <m/>
    <m/>
    <m/>
    <m/>
    <m/>
    <m/>
    <m/>
    <m/>
    <m/>
  </r>
  <r>
    <x v="3"/>
    <x v="0"/>
    <x v="13"/>
    <x v="13"/>
    <x v="0"/>
    <m/>
    <m/>
    <n v="3000000000"/>
    <x v="0"/>
    <x v="51"/>
    <m/>
    <x v="5"/>
    <x v="2"/>
    <m/>
    <x v="0"/>
    <x v="2"/>
    <x v="0"/>
    <m/>
    <x v="0"/>
    <x v="2"/>
    <x v="0"/>
    <m/>
    <m/>
    <m/>
    <m/>
    <m/>
    <m/>
    <m/>
    <m/>
    <x v="0"/>
    <d v="2025-10-15T00:00:00"/>
    <m/>
    <m/>
    <m/>
    <m/>
    <m/>
    <m/>
    <m/>
    <m/>
    <m/>
    <m/>
    <m/>
    <m/>
    <m/>
    <m/>
    <m/>
    <m/>
    <m/>
    <m/>
    <m/>
    <m/>
    <m/>
    <m/>
    <m/>
    <m/>
    <m/>
    <m/>
    <m/>
    <m/>
    <m/>
  </r>
  <r>
    <x v="3"/>
    <x v="1"/>
    <x v="24"/>
    <x v="25"/>
    <x v="100"/>
    <m/>
    <m/>
    <n v="2300000000"/>
    <x v="42"/>
    <x v="56"/>
    <m/>
    <x v="5"/>
    <x v="2"/>
    <m/>
    <x v="0"/>
    <x v="2"/>
    <x v="0"/>
    <m/>
    <x v="0"/>
    <x v="2"/>
    <x v="0"/>
    <m/>
    <m/>
    <m/>
    <m/>
    <m/>
    <m/>
    <m/>
    <m/>
    <x v="0"/>
    <d v="2026-05-05T00:00:00"/>
    <m/>
    <m/>
    <m/>
    <m/>
    <m/>
    <m/>
    <m/>
    <m/>
    <m/>
    <m/>
    <m/>
    <m/>
    <m/>
    <m/>
    <m/>
    <m/>
    <m/>
    <m/>
    <m/>
    <m/>
    <m/>
    <m/>
    <m/>
    <m/>
    <m/>
    <m/>
    <m/>
    <m/>
    <m/>
  </r>
  <r>
    <x v="3"/>
    <x v="1"/>
    <x v="25"/>
    <x v="26"/>
    <x v="101"/>
    <m/>
    <m/>
    <n v="778997925"/>
    <x v="43"/>
    <x v="51"/>
    <m/>
    <x v="5"/>
    <x v="2"/>
    <m/>
    <x v="0"/>
    <x v="2"/>
    <x v="0"/>
    <m/>
    <x v="0"/>
    <x v="2"/>
    <x v="0"/>
    <m/>
    <m/>
    <m/>
    <m/>
    <m/>
    <m/>
    <m/>
    <m/>
    <x v="0"/>
    <d v="2025-10-30T00:00:00"/>
    <m/>
    <m/>
    <m/>
    <m/>
    <m/>
    <m/>
    <m/>
    <m/>
    <m/>
    <m/>
    <m/>
    <m/>
    <m/>
    <m/>
    <m/>
    <m/>
    <m/>
    <m/>
    <m/>
    <m/>
    <m/>
    <m/>
    <m/>
    <m/>
    <m/>
    <m/>
    <m/>
    <m/>
    <m/>
  </r>
  <r>
    <x v="3"/>
    <x v="1"/>
    <x v="25"/>
    <x v="26"/>
    <x v="102"/>
    <m/>
    <m/>
    <n v="55160018"/>
    <x v="44"/>
    <x v="51"/>
    <m/>
    <x v="5"/>
    <x v="2"/>
    <m/>
    <x v="0"/>
    <x v="2"/>
    <x v="0"/>
    <m/>
    <x v="0"/>
    <x v="2"/>
    <x v="0"/>
    <m/>
    <m/>
    <m/>
    <m/>
    <m/>
    <m/>
    <m/>
    <m/>
    <x v="0"/>
    <d v="2025-09-19T00:00:00"/>
    <m/>
    <m/>
    <m/>
    <m/>
    <m/>
    <m/>
    <m/>
    <m/>
    <m/>
    <m/>
    <m/>
    <m/>
    <m/>
    <m/>
    <m/>
    <m/>
    <m/>
    <m/>
    <m/>
    <m/>
    <m/>
    <m/>
    <m/>
    <m/>
    <m/>
    <m/>
    <m/>
    <m/>
    <m/>
  </r>
  <r>
    <x v="3"/>
    <x v="1"/>
    <x v="25"/>
    <x v="26"/>
    <x v="103"/>
    <m/>
    <m/>
    <n v="647026106"/>
    <x v="45"/>
    <x v="51"/>
    <m/>
    <x v="5"/>
    <x v="2"/>
    <m/>
    <x v="0"/>
    <x v="2"/>
    <x v="0"/>
    <m/>
    <x v="0"/>
    <x v="2"/>
    <x v="0"/>
    <m/>
    <m/>
    <m/>
    <m/>
    <m/>
    <m/>
    <m/>
    <m/>
    <x v="0"/>
    <d v="2025-10-30T00:00:00"/>
    <m/>
    <m/>
    <m/>
    <m/>
    <m/>
    <m/>
    <m/>
    <m/>
    <m/>
    <m/>
    <m/>
    <m/>
    <m/>
    <m/>
    <m/>
    <m/>
    <m/>
    <m/>
    <m/>
    <m/>
    <m/>
    <m/>
    <m/>
    <m/>
    <m/>
    <m/>
    <m/>
    <m/>
    <m/>
  </r>
  <r>
    <x v="3"/>
    <x v="1"/>
    <x v="25"/>
    <x v="26"/>
    <x v="104"/>
    <m/>
    <m/>
    <n v="275627560"/>
    <x v="46"/>
    <x v="51"/>
    <m/>
    <x v="5"/>
    <x v="2"/>
    <m/>
    <x v="0"/>
    <x v="2"/>
    <x v="0"/>
    <m/>
    <x v="0"/>
    <x v="2"/>
    <x v="0"/>
    <m/>
    <m/>
    <m/>
    <m/>
    <m/>
    <m/>
    <m/>
    <m/>
    <x v="0"/>
    <d v="2025-09-19T00:00:00"/>
    <m/>
    <m/>
    <m/>
    <m/>
    <m/>
    <m/>
    <m/>
    <m/>
    <m/>
    <m/>
    <m/>
    <m/>
    <m/>
    <m/>
    <m/>
    <m/>
    <m/>
    <m/>
    <m/>
    <m/>
    <m/>
    <m/>
    <m/>
    <m/>
    <m/>
    <m/>
    <m/>
    <m/>
    <m/>
  </r>
  <r>
    <x v="3"/>
    <x v="2"/>
    <x v="17"/>
    <x v="27"/>
    <x v="105"/>
    <m/>
    <m/>
    <n v="719747220"/>
    <x v="7"/>
    <x v="51"/>
    <m/>
    <x v="5"/>
    <x v="2"/>
    <m/>
    <x v="0"/>
    <x v="2"/>
    <x v="0"/>
    <m/>
    <x v="0"/>
    <x v="2"/>
    <x v="0"/>
    <m/>
    <m/>
    <m/>
    <m/>
    <m/>
    <m/>
    <m/>
    <m/>
    <x v="0"/>
    <d v="2025-11-13T00:00:00"/>
    <m/>
    <m/>
    <m/>
    <m/>
    <m/>
    <m/>
    <m/>
    <m/>
    <m/>
    <m/>
    <m/>
    <m/>
    <m/>
    <m/>
    <m/>
    <m/>
    <m/>
    <m/>
    <m/>
    <m/>
    <m/>
    <m/>
    <m/>
    <m/>
    <m/>
    <m/>
    <m/>
    <m/>
    <m/>
  </r>
  <r>
    <x v="3"/>
    <x v="2"/>
    <x v="17"/>
    <x v="27"/>
    <x v="106"/>
    <m/>
    <m/>
    <n v="13675197172"/>
    <x v="7"/>
    <x v="51"/>
    <m/>
    <x v="5"/>
    <x v="2"/>
    <m/>
    <x v="0"/>
    <x v="2"/>
    <x v="0"/>
    <m/>
    <x v="0"/>
    <x v="2"/>
    <x v="0"/>
    <m/>
    <m/>
    <m/>
    <m/>
    <m/>
    <m/>
    <m/>
    <m/>
    <x v="0"/>
    <d v="2025-11-06T00:00:00"/>
    <m/>
    <m/>
    <m/>
    <m/>
    <m/>
    <m/>
    <m/>
    <m/>
    <m/>
    <m/>
    <m/>
    <m/>
    <m/>
    <m/>
    <m/>
    <m/>
    <m/>
    <m/>
    <m/>
    <m/>
    <m/>
    <m/>
    <m/>
    <m/>
    <m/>
    <m/>
    <m/>
    <m/>
    <m/>
  </r>
  <r>
    <x v="3"/>
    <x v="6"/>
    <x v="10"/>
    <x v="28"/>
    <x v="107"/>
    <m/>
    <m/>
    <n v="1996405202"/>
    <x v="0"/>
    <x v="51"/>
    <m/>
    <x v="5"/>
    <x v="2"/>
    <m/>
    <x v="0"/>
    <x v="2"/>
    <x v="0"/>
    <m/>
    <x v="0"/>
    <x v="2"/>
    <x v="0"/>
    <m/>
    <m/>
    <m/>
    <m/>
    <m/>
    <m/>
    <m/>
    <m/>
    <x v="0"/>
    <d v="2026-01-02T00:00:00"/>
    <m/>
    <m/>
    <m/>
    <m/>
    <m/>
    <m/>
    <m/>
    <m/>
    <m/>
    <m/>
    <m/>
    <m/>
    <m/>
    <m/>
    <m/>
    <m/>
    <m/>
    <m/>
    <m/>
    <m/>
    <m/>
    <m/>
    <m/>
    <m/>
    <m/>
    <m/>
    <m/>
    <m/>
    <m/>
  </r>
  <r>
    <x v="3"/>
    <x v="11"/>
    <x v="26"/>
    <x v="29"/>
    <x v="108"/>
    <m/>
    <m/>
    <n v="6789762600"/>
    <x v="47"/>
    <x v="51"/>
    <m/>
    <x v="5"/>
    <x v="2"/>
    <m/>
    <x v="0"/>
    <x v="2"/>
    <x v="0"/>
    <m/>
    <x v="0"/>
    <x v="2"/>
    <x v="0"/>
    <m/>
    <m/>
    <m/>
    <m/>
    <m/>
    <m/>
    <m/>
    <m/>
    <x v="0"/>
    <d v="2025-11-15T00:00:00"/>
    <m/>
    <m/>
    <m/>
    <m/>
    <m/>
    <m/>
    <m/>
    <m/>
    <m/>
    <m/>
    <m/>
    <m/>
    <m/>
    <m/>
    <m/>
    <m/>
    <m/>
    <m/>
    <m/>
    <m/>
    <m/>
    <m/>
    <m/>
    <m/>
    <m/>
    <m/>
    <m/>
    <m/>
    <m/>
  </r>
  <r>
    <x v="3"/>
    <x v="12"/>
    <x v="27"/>
    <x v="30"/>
    <x v="109"/>
    <m/>
    <m/>
    <n v="709550817"/>
    <x v="48"/>
    <x v="51"/>
    <m/>
    <x v="5"/>
    <x v="2"/>
    <m/>
    <x v="0"/>
    <x v="2"/>
    <x v="0"/>
    <m/>
    <x v="0"/>
    <x v="2"/>
    <x v="0"/>
    <m/>
    <m/>
    <m/>
    <m/>
    <m/>
    <m/>
    <m/>
    <m/>
    <x v="0"/>
    <d v="2025-11-06T00:00:00"/>
    <m/>
    <m/>
    <m/>
    <m/>
    <m/>
    <m/>
    <m/>
    <m/>
    <m/>
    <m/>
    <m/>
    <m/>
    <m/>
    <m/>
    <m/>
    <m/>
    <m/>
    <m/>
    <m/>
    <m/>
    <m/>
    <m/>
    <m/>
    <m/>
    <m/>
    <m/>
    <m/>
    <m/>
    <m/>
  </r>
  <r>
    <x v="3"/>
    <x v="12"/>
    <x v="27"/>
    <x v="30"/>
    <x v="110"/>
    <m/>
    <m/>
    <n v="13006751220"/>
    <x v="17"/>
    <x v="51"/>
    <m/>
    <x v="5"/>
    <x v="2"/>
    <m/>
    <x v="0"/>
    <x v="2"/>
    <x v="0"/>
    <m/>
    <x v="0"/>
    <x v="2"/>
    <x v="0"/>
    <m/>
    <m/>
    <m/>
    <m/>
    <m/>
    <m/>
    <m/>
    <m/>
    <x v="0"/>
    <d v="2025-11-06T00:00:00"/>
    <m/>
    <m/>
    <m/>
    <m/>
    <m/>
    <m/>
    <m/>
    <m/>
    <m/>
    <m/>
    <m/>
    <m/>
    <m/>
    <m/>
    <m/>
    <m/>
    <m/>
    <m/>
    <m/>
    <m/>
    <m/>
    <m/>
    <m/>
    <m/>
    <m/>
    <m/>
    <m/>
    <m/>
    <m/>
  </r>
  <r>
    <x v="3"/>
    <x v="12"/>
    <x v="28"/>
    <x v="31"/>
    <x v="109"/>
    <m/>
    <m/>
    <n v="1332697980"/>
    <x v="48"/>
    <x v="51"/>
    <m/>
    <x v="5"/>
    <x v="2"/>
    <m/>
    <x v="0"/>
    <x v="2"/>
    <x v="0"/>
    <m/>
    <x v="0"/>
    <x v="2"/>
    <x v="0"/>
    <m/>
    <m/>
    <m/>
    <m/>
    <m/>
    <m/>
    <m/>
    <m/>
    <x v="0"/>
    <d v="2025-11-06T00:00:00"/>
    <m/>
    <m/>
    <m/>
    <m/>
    <m/>
    <m/>
    <m/>
    <m/>
    <m/>
    <m/>
    <m/>
    <m/>
    <m/>
    <m/>
    <m/>
    <m/>
    <m/>
    <m/>
    <m/>
    <m/>
    <m/>
    <m/>
    <m/>
    <m/>
    <m/>
    <m/>
    <m/>
    <m/>
    <m/>
  </r>
  <r>
    <x v="3"/>
    <x v="12"/>
    <x v="28"/>
    <x v="31"/>
    <x v="110"/>
    <m/>
    <m/>
    <n v="23318219298"/>
    <x v="17"/>
    <x v="51"/>
    <m/>
    <x v="5"/>
    <x v="2"/>
    <m/>
    <x v="0"/>
    <x v="2"/>
    <x v="0"/>
    <m/>
    <x v="0"/>
    <x v="2"/>
    <x v="0"/>
    <m/>
    <m/>
    <m/>
    <m/>
    <m/>
    <m/>
    <m/>
    <m/>
    <x v="0"/>
    <d v="2025-11-06T00:00:00"/>
    <m/>
    <m/>
    <m/>
    <m/>
    <m/>
    <m/>
    <m/>
    <m/>
    <m/>
    <m/>
    <m/>
    <m/>
    <m/>
    <m/>
    <m/>
    <m/>
    <m/>
    <m/>
    <m/>
    <m/>
    <m/>
    <m/>
    <m/>
    <m/>
    <m/>
    <m/>
    <m/>
    <m/>
    <m/>
  </r>
  <r>
    <x v="3"/>
    <x v="8"/>
    <x v="29"/>
    <x v="32"/>
    <x v="111"/>
    <m/>
    <m/>
    <n v="300000000"/>
    <x v="41"/>
    <x v="51"/>
    <m/>
    <x v="5"/>
    <x v="2"/>
    <m/>
    <x v="0"/>
    <x v="2"/>
    <x v="0"/>
    <m/>
    <x v="0"/>
    <x v="2"/>
    <x v="0"/>
    <m/>
    <m/>
    <m/>
    <m/>
    <m/>
    <m/>
    <m/>
    <m/>
    <x v="0"/>
    <d v="2025-08-22T00:00:00"/>
    <m/>
    <m/>
    <m/>
    <m/>
    <m/>
    <m/>
    <m/>
    <m/>
    <m/>
    <m/>
    <m/>
    <m/>
    <m/>
    <m/>
    <m/>
    <m/>
    <m/>
    <m/>
    <m/>
    <m/>
    <m/>
    <m/>
    <m/>
    <m/>
    <m/>
    <m/>
    <m/>
    <m/>
    <m/>
  </r>
  <r>
    <x v="3"/>
    <x v="8"/>
    <x v="29"/>
    <x v="32"/>
    <x v="112"/>
    <m/>
    <m/>
    <n v="1200000000"/>
    <x v="41"/>
    <x v="51"/>
    <m/>
    <x v="5"/>
    <x v="2"/>
    <m/>
    <x v="0"/>
    <x v="2"/>
    <x v="0"/>
    <m/>
    <x v="0"/>
    <x v="2"/>
    <x v="0"/>
    <m/>
    <m/>
    <m/>
    <m/>
    <m/>
    <m/>
    <m/>
    <m/>
    <x v="0"/>
    <d v="2025-08-22T00:00:00"/>
    <m/>
    <m/>
    <m/>
    <m/>
    <m/>
    <m/>
    <m/>
    <m/>
    <m/>
    <m/>
    <m/>
    <m/>
    <m/>
    <m/>
    <m/>
    <m/>
    <m/>
    <m/>
    <m/>
    <m/>
    <m/>
    <m/>
    <m/>
    <m/>
    <m/>
    <m/>
    <m/>
    <m/>
    <m/>
  </r>
  <r>
    <x v="3"/>
    <x v="8"/>
    <x v="29"/>
    <x v="32"/>
    <x v="113"/>
    <m/>
    <m/>
    <n v="1100000000"/>
    <x v="41"/>
    <x v="51"/>
    <m/>
    <x v="5"/>
    <x v="2"/>
    <m/>
    <x v="0"/>
    <x v="2"/>
    <x v="0"/>
    <m/>
    <x v="0"/>
    <x v="2"/>
    <x v="0"/>
    <m/>
    <m/>
    <m/>
    <m/>
    <m/>
    <m/>
    <m/>
    <m/>
    <x v="0"/>
    <d v="2025-08-22T00:00:00"/>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4181"/>
    <s v="Unidad Administrativa Especial de Gestión de Bienes y Servicios"/>
    <x v="0"/>
    <n v="2025"/>
    <s v="Julio"/>
    <s v="Julio"/>
    <n v="5"/>
    <s v="Meses"/>
    <s v="Contratación Directa - Convenio/Contratos Interadministrativos"/>
    <s v="Inversión - Recursos de crédito"/>
    <s v="Inversión - Recursos de crédito/0"/>
    <m/>
    <x v="0"/>
    <m/>
    <m/>
    <s v=""/>
    <s v=""/>
    <s v=""/>
    <n v="0"/>
    <n v="0"/>
    <s v="NO"/>
    <s v="No Solicitada"/>
    <x v="0"/>
    <s v="Solicitud de inclusion"/>
    <s v="Servicios"/>
    <s v="Estudios y diseños de arquitectura e ingenieria"/>
    <s v="No Aplica"/>
    <n v="1449"/>
    <s v="Aprobada"/>
    <s v="Inversión"/>
    <n v="0"/>
    <n v="0"/>
    <m/>
    <s v="SI"/>
    <s v="SECOP I"/>
    <x v="0"/>
    <m/>
    <m/>
    <x v="0"/>
    <m/>
    <s v="SIN ELEMENTOS PEP - PLATAFORMA ERROR"/>
    <m/>
    <m/>
    <m/>
    <m/>
    <m/>
    <m/>
    <m/>
    <s v=""/>
    <s v="-19333"/>
    <m/>
    <s v="SI"/>
    <n v="0"/>
    <n v="0"/>
  </r>
  <r>
    <s v="4148"/>
    <s v="Secretaría de Cultura"/>
    <x v="1"/>
    <n v="2025"/>
    <s v="Julio"/>
    <s v="Agosto"/>
    <n v="195"/>
    <s v="Dias"/>
    <s v="Concurso de Méritos Abierto"/>
    <s v="Inversión - Recursos de crédito"/>
    <s v="Inversión - Recursos de crédito/599955458"/>
    <s v="BP260053401010131"/>
    <x v="1"/>
    <s v="2320202008"/>
    <m/>
    <n v="509962139"/>
    <n v="0"/>
    <n v="509962139"/>
    <n v="599955458"/>
    <n v="509962139"/>
    <s v="SI"/>
    <s v="Solicitada"/>
    <x v="1"/>
    <s v="Solicitud de inclusion"/>
    <s v="Servicios"/>
    <s v="Interventorías"/>
    <s v="No Aplica"/>
    <n v="1449"/>
    <s v="Aprobada"/>
    <s v="Inversión"/>
    <n v="0"/>
    <n v="599955458"/>
    <m/>
    <s v="SI"/>
    <s v="SECOP II"/>
    <x v="1"/>
    <m/>
    <s v="Sin Justificación_x000a_"/>
    <x v="1"/>
    <m/>
    <s v="Recursos de crédito interno"/>
    <m/>
    <m/>
    <m/>
    <m/>
    <n v="0"/>
    <m/>
    <m/>
    <s v="BP26005340"/>
    <s v="BP26005340-18890"/>
    <m/>
    <s v="SI"/>
    <n v="0"/>
    <n v="0"/>
  </r>
  <r>
    <s v="4148"/>
    <s v="Secretaría de Cultura"/>
    <x v="2"/>
    <n v="2025"/>
    <s v="Junio"/>
    <s v="Agosto"/>
    <n v="6"/>
    <s v="Meses"/>
    <s v="Licitación pública (Obra pública)"/>
    <s v="Inversión - Recursos de crédito"/>
    <s v="Inversión - Recursos de crédito/5700377800"/>
    <s v="BP260053401010127"/>
    <x v="2"/>
    <s v="2320202005"/>
    <m/>
    <n v="411084718"/>
    <n v="0"/>
    <n v="411084718"/>
    <n v="5700377800"/>
    <n v="4845321130"/>
    <s v="SI"/>
    <s v="Solicitada"/>
    <x v="2"/>
    <s v="Solicitud de inclusion"/>
    <s v="Obras"/>
    <s v="Adecuación de insfraestructura física"/>
    <s v="IS - Poblacion Negra, Afrodescendiente, Raizal, Palenquera, Rrom o Gitanas"/>
    <n v="1449"/>
    <s v="Aprobada"/>
    <s v="Inversión"/>
    <n v="0"/>
    <n v="5700377800"/>
    <m/>
    <s v="SI"/>
    <s v="SECOP II"/>
    <x v="2"/>
    <m/>
    <m/>
    <x v="1"/>
    <m/>
    <s v="Recursos de crédito interno"/>
    <m/>
    <m/>
    <m/>
    <m/>
    <n v="0"/>
    <m/>
    <m/>
    <s v="BP26005340"/>
    <s v="BP26005340-18889"/>
    <m/>
    <s v="SI"/>
    <n v="1"/>
    <n v="1"/>
  </r>
  <r>
    <s v="4134"/>
    <s v="Departamento Administrativo de Tecnologías de la Información y las Comunicaciones"/>
    <x v="3"/>
    <n v="2025"/>
    <s v="Julio"/>
    <s v="Agosto"/>
    <n v="4"/>
    <s v="Meses"/>
    <s v="Contratación Directa - Único Proveedor "/>
    <s v="Inversión - Recursos de crédito"/>
    <s v="Inversión - Recursos de crédito/500000000"/>
    <s v="BP260052601010120"/>
    <x v="3"/>
    <s v="2320202008"/>
    <m/>
    <n v="8651322217"/>
    <n v="8151322217"/>
    <n v="500000000"/>
    <n v="500000000"/>
    <n v="500000000"/>
    <s v="NO"/>
    <s v="No Solicitada"/>
    <x v="3"/>
    <s v="Solicitud de inclusion"/>
    <s v="Servicios"/>
    <s v="Servicios tecnologicos - creacion, soporte, actualización y mantenimiento de software"/>
    <s v="No Aplica"/>
    <n v="1449"/>
    <s v="Aprobada"/>
    <s v="Inversión"/>
    <n v="0"/>
    <n v="500000000"/>
    <m/>
    <s v="SI"/>
    <s v="SECOP II"/>
    <x v="3"/>
    <m/>
    <s v="Sin Justificación_x000a_"/>
    <x v="2"/>
    <m/>
    <s v="Recursos de crédito interno"/>
    <m/>
    <m/>
    <m/>
    <m/>
    <n v="0"/>
    <m/>
    <m/>
    <s v="BP26005260"/>
    <s v="BP26005260-18946"/>
    <m/>
    <s v="SI"/>
    <n v="0"/>
    <n v="0"/>
  </r>
  <r>
    <s v="4134"/>
    <s v="Departamento Administrativo de Tecnologías de la Información y las Comunicaciones"/>
    <x v="4"/>
    <n v="2025"/>
    <s v="Julio"/>
    <s v="Agosto"/>
    <n v="4"/>
    <s v="Meses"/>
    <s v="Selección Abreviada Menor Cuantía"/>
    <s v="Inversión - Recursos de crédito"/>
    <s v="Inversión - Recursos de crédito/260000000"/>
    <s v="BP260052601010120"/>
    <x v="3"/>
    <s v="2320202008"/>
    <m/>
    <n v="8651322217"/>
    <n v="8391322217"/>
    <n v="260000000"/>
    <n v="260000000"/>
    <n v="260000000"/>
    <s v="NO"/>
    <s v="No Solicitada"/>
    <x v="4"/>
    <s v="solicitud de modificacion"/>
    <s v="Servicios"/>
    <s v="Servicios tecnologicos - creacion, soporte, actualización y mantenimiento de software"/>
    <s v="No Aplica"/>
    <n v="1449"/>
    <s v="Aprobada"/>
    <s v="Inversión"/>
    <n v="0"/>
    <n v="260000000"/>
    <n v="1"/>
    <s v="SI"/>
    <s v="SECOP II"/>
    <x v="4"/>
    <m/>
    <m/>
    <x v="2"/>
    <m/>
    <s v="Recursos de crédito interno"/>
    <m/>
    <m/>
    <m/>
    <m/>
    <n v="0"/>
    <m/>
    <m/>
    <s v="BP26005260"/>
    <s v="BP26005260-18933"/>
    <m/>
    <s v="SI"/>
    <n v="0"/>
    <n v="0"/>
  </r>
  <r>
    <s v="4134"/>
    <s v="Departamento Administrativo de Tecnologías de la Información y las Comunicaciones"/>
    <x v="5"/>
    <n v="2025"/>
    <s v="Agosto"/>
    <s v="Septiembre"/>
    <n v="3"/>
    <s v="Meses"/>
    <s v="Licitación pública"/>
    <s v="Inversión - Recursos de crédito"/>
    <s v="Inversión - Recursos de crédito/15661471447"/>
    <s v="BP260052601010116"/>
    <x v="4"/>
    <s v="23201010030302"/>
    <m/>
    <n v="5413030367"/>
    <n v="0"/>
    <n v="5413030367"/>
    <n v="15661471447"/>
    <n v="15661471447"/>
    <s v="NO"/>
    <s v="No Solicitada"/>
    <x v="5"/>
    <s v="solicitud de modificacion"/>
    <s v="Bienes"/>
    <s v="Suministros de maquinaria, equipos eléctricos y electrónicos"/>
    <s v="No Aplica"/>
    <n v="1449"/>
    <s v="Aprobada"/>
    <s v="Inversión"/>
    <n v="0"/>
    <n v="15661471447"/>
    <n v="1"/>
    <s v="SI"/>
    <s v="SECOP II"/>
    <x v="5"/>
    <m/>
    <m/>
    <x v="2"/>
    <m/>
    <s v="Recursos de crédito interno"/>
    <m/>
    <m/>
    <m/>
    <m/>
    <n v="0"/>
    <m/>
    <m/>
    <s v="BP26005260"/>
    <s v="BP26005260-18918"/>
    <m/>
    <s v="SI"/>
    <n v="1"/>
    <n v="1"/>
  </r>
  <r>
    <s v="4162"/>
    <s v="Secretaría del Deporte y la Recreación"/>
    <x v="6"/>
    <n v="2025"/>
    <s v="Julio"/>
    <s v="Agosto"/>
    <n v="6"/>
    <s v="Meses"/>
    <s v="Licitación pública"/>
    <s v="Inversión - Recursos de crédito"/>
    <s v="Inversión - Recursos de crédito/3868314995"/>
    <s v="BP260053991010169"/>
    <x v="5"/>
    <s v="2320202005"/>
    <m/>
    <n v="3868314995"/>
    <n v="0"/>
    <n v="3868314995"/>
    <n v="3868314995"/>
    <n v="3868314995"/>
    <s v="SI"/>
    <s v="No Solicitada"/>
    <x v="6"/>
    <s v="Solicitud de inclusion"/>
    <s v="Obras"/>
    <s v="Adecuación de insfraestructura física"/>
    <s v="No Aplica"/>
    <n v="1449"/>
    <s v="Aprobada"/>
    <s v="Inversión"/>
    <n v="0"/>
    <n v="3868314995"/>
    <m/>
    <s v="SI"/>
    <s v="SECOP II"/>
    <x v="6"/>
    <m/>
    <m/>
    <x v="3"/>
    <m/>
    <s v="Recursos de crédito interno"/>
    <m/>
    <m/>
    <m/>
    <m/>
    <n v="0"/>
    <m/>
    <m/>
    <s v="BP26005399"/>
    <s v="BP26005399-19000"/>
    <m/>
    <s v="SI"/>
    <n v="0"/>
    <n v="0"/>
  </r>
  <r>
    <s v="4162"/>
    <s v="Secretaría del Deporte y la Recreación"/>
    <x v="7"/>
    <n v="2025"/>
    <s v="Julio"/>
    <s v="Agosto"/>
    <n v="3"/>
    <s v="Meses"/>
    <s v="Concurso de Méritos Abierto"/>
    <s v="Inversión con Recursos propios"/>
    <s v="Inversión con Recursos propios/403637903"/>
    <s v="BP260053991010172"/>
    <x v="6"/>
    <s v="2320202008"/>
    <m/>
    <n v="403637903"/>
    <n v="0"/>
    <n v="403637903"/>
    <n v="403637903"/>
    <n v="403637903"/>
    <s v="NO"/>
    <s v="No Solicitada"/>
    <x v="7"/>
    <s v="Solicitud de inclusion"/>
    <s v="Servicios"/>
    <s v="Interventorías"/>
    <s v="No Aplica"/>
    <n v="1449"/>
    <s v="Aprobada"/>
    <s v="Inversión"/>
    <n v="0"/>
    <n v="403637903"/>
    <m/>
    <s v="SI"/>
    <s v="SECOP II"/>
    <x v="7"/>
    <m/>
    <m/>
    <x v="3"/>
    <m/>
    <s v="Recursos de crédito interno"/>
    <m/>
    <m/>
    <m/>
    <m/>
    <n v="0"/>
    <m/>
    <m/>
    <s v="BP26005399"/>
    <s v="BP26005399-18998"/>
    <m/>
    <s v="SI"/>
    <n v="0"/>
    <n v="0"/>
  </r>
  <r>
    <s v="4162"/>
    <s v="Secretaría del Deporte y la Recreación"/>
    <x v="8"/>
    <n v="2025"/>
    <s v="Junio"/>
    <s v="Julio"/>
    <n v="3"/>
    <s v="Meses"/>
    <s v="Licitación pública"/>
    <s v="Inversión - Recursos de crédito"/>
    <s v="Inversión - Recursos de crédito/5045473784"/>
    <s v="BP260053991010171"/>
    <x v="7"/>
    <s v="2320202005"/>
    <m/>
    <n v="5045473784"/>
    <n v="0"/>
    <n v="5045473784"/>
    <n v="5045473784"/>
    <n v="5045473784"/>
    <s v="NO"/>
    <s v="No Solicitada"/>
    <x v="8"/>
    <s v="Solicitud de inclusion"/>
    <s v="Obras"/>
    <s v="Adecuación de insfraestructura física"/>
    <s v="No Aplica"/>
    <n v="1449"/>
    <s v="Aprobada"/>
    <s v="Inversión"/>
    <n v="0"/>
    <n v="5045473784"/>
    <m/>
    <s v="SI"/>
    <s v="SECOP II"/>
    <x v="8"/>
    <m/>
    <m/>
    <x v="3"/>
    <m/>
    <s v="Recursos de crédito interno"/>
    <m/>
    <m/>
    <m/>
    <m/>
    <n v="0"/>
    <m/>
    <m/>
    <s v="BP26005399"/>
    <s v="BP26005399-18996"/>
    <m/>
    <s v="SI"/>
    <n v="0"/>
    <n v="0"/>
  </r>
  <r>
    <s v="4143"/>
    <s v="Secretaría de Educación"/>
    <x v="9"/>
    <n v="2025"/>
    <s v="Agosto"/>
    <s v="Octubre"/>
    <n v="6"/>
    <s v="Meses"/>
    <s v="Licitación pública (Obra pública)"/>
    <s v="Inversión - Recursos de crédito"/>
    <s v="Inversión - Recursos de crédito/9500000000"/>
    <s v="BP260047011010234"/>
    <x v="8"/>
    <s v="2320202005"/>
    <m/>
    <n v="3316687500"/>
    <n v="0"/>
    <n v="3316687500"/>
    <n v="9500000000"/>
    <n v="3316687500"/>
    <s v="SI"/>
    <s v="Solicitada"/>
    <x v="9"/>
    <s v="Solicitud de inclusion"/>
    <s v="Obras"/>
    <s v="Adecuación de insfraestructura física"/>
    <s v="IS - Mujer Cabeza da Familia;IS - Poblacion con Discapacidad o Diversidad Funcional;SA - Infraestructura Fisica"/>
    <n v="1449"/>
    <s v="Aprobada"/>
    <s v="Inversión"/>
    <n v="0"/>
    <n v="9500000000"/>
    <m/>
    <s v="SI"/>
    <s v="SECOP II"/>
    <x v="9"/>
    <m/>
    <m/>
    <x v="4"/>
    <m/>
    <s v="Recursos de crédito interno"/>
    <m/>
    <m/>
    <m/>
    <m/>
    <n v="0"/>
    <m/>
    <m/>
    <s v="BP26004701"/>
    <s v="BP26004701-18910"/>
    <m/>
    <s v="SI"/>
    <n v="1"/>
    <n v="1"/>
  </r>
  <r>
    <s v="4131"/>
    <s v="Departamento Administrativo de Hacienda Municipal"/>
    <x v="10"/>
    <n v="2025"/>
    <s v="Julio"/>
    <s v="Julio"/>
    <n v="168"/>
    <s v="Meses"/>
    <s v="Contratación directa - Empréstitos,  manejo de deuda publica y conexas"/>
    <s v="Inversión - Recursos de crédito"/>
    <s v="Inversión - Recursos de crédito/0"/>
    <m/>
    <x v="0"/>
    <m/>
    <m/>
    <s v=""/>
    <s v=""/>
    <s v=""/>
    <n v="0"/>
    <n v="0"/>
    <s v="NO"/>
    <s v="No Solicitada"/>
    <x v="10"/>
    <s v="Solicitud de inclusion"/>
    <s v="Servicios"/>
    <s v="Servicios administrativos financieros y de tercerización"/>
    <s v="No Aplica"/>
    <n v="1449"/>
    <s v="Aprobada"/>
    <s v="Inversión"/>
    <n v="0"/>
    <n v="0"/>
    <m/>
    <s v="SI"/>
    <s v="SECOP II"/>
    <x v="10"/>
    <m/>
    <m/>
    <x v="5"/>
    <m/>
    <s v="SIN ELEMENTOS PEP - PLATAFORMA ERROR"/>
    <m/>
    <m/>
    <m/>
    <m/>
    <m/>
    <m/>
    <m/>
    <s v=""/>
    <s v="-19385"/>
    <m/>
    <s v="SI"/>
    <n v="0"/>
    <n v="0"/>
  </r>
  <r>
    <s v="4131"/>
    <s v="Departamento Administrativo de Hacienda Municipal"/>
    <x v="11"/>
    <n v="2025"/>
    <s v="Junio"/>
    <s v="Junio"/>
    <n v="120"/>
    <s v="Meses"/>
    <s v="Contratación directa - Empréstitos,  manejo de deuda publica y conexas"/>
    <s v="Inversión - Recursos de crédito"/>
    <s v="Inversión - Recursos de crédito/0"/>
    <m/>
    <x v="0"/>
    <m/>
    <m/>
    <s v=""/>
    <s v=""/>
    <s v=""/>
    <n v="0"/>
    <n v="0"/>
    <s v="NO"/>
    <s v="No Solicitada"/>
    <x v="11"/>
    <s v="Solicitud de inclusion"/>
    <s v="Servicios"/>
    <s v="Servicios administrativos financieros y de tercerización"/>
    <s v="No Aplica"/>
    <n v="1449"/>
    <s v="Aprobada"/>
    <s v="Inversión"/>
    <n v="0"/>
    <n v="0"/>
    <m/>
    <s v="SI"/>
    <s v="SECOP II"/>
    <x v="11"/>
    <m/>
    <m/>
    <x v="5"/>
    <d v="2025-06-27T00:00:00"/>
    <s v="SIN ELEMENTOS PEP - PLATAFORMA ERROR"/>
    <m/>
    <m/>
    <m/>
    <m/>
    <m/>
    <m/>
    <m/>
    <s v=""/>
    <s v="-19124"/>
    <m/>
    <s v="SI"/>
    <n v="0"/>
    <n v="0"/>
  </r>
  <r>
    <s v="4151"/>
    <s v="Secretaría de Infraestructura"/>
    <x v="12"/>
    <n v="2025"/>
    <s v="Julio"/>
    <s v="Julio"/>
    <n v="4"/>
    <s v="Meses"/>
    <s v="Selección Abreviada Menor Cuantía"/>
    <s v="Inversión - Recursos de crédito"/>
    <s v="Inversión - Recursos de crédito/810601805"/>
    <s v="BP260053751010306"/>
    <x v="9"/>
    <s v="2320202005"/>
    <m/>
    <n v="810601805"/>
    <n v="0"/>
    <n v="810601805"/>
    <n v="810601805"/>
    <n v="810601805"/>
    <s v="NO"/>
    <s v="No Solicitada"/>
    <x v="12"/>
    <s v="Solicitud de inclusion"/>
    <s v="Obras"/>
    <s v="Construcción y Adecuación de sistemas de acueducto y alcantarillado (PTAR, PTARD y PTAP)"/>
    <s v="IS - Jovenes Desescolarizados y Graduados de Bachillerato de Estratos 1 y 2"/>
    <n v="1449"/>
    <s v="Aprobada"/>
    <s v="Inversión"/>
    <n v="0"/>
    <n v="810601805"/>
    <m/>
    <s v="SI"/>
    <s v="SECOP II"/>
    <x v="12"/>
    <m/>
    <s v="Sin Justificación_x000a_"/>
    <x v="6"/>
    <m/>
    <s v="Recursos de crédito interno"/>
    <m/>
    <m/>
    <m/>
    <m/>
    <n v="810601805"/>
    <m/>
    <m/>
    <s v="BP26005375"/>
    <s v="BP26005375-19194"/>
    <m/>
    <s v="SI"/>
    <n v="0"/>
    <n v="0"/>
  </r>
  <r>
    <s v="4151"/>
    <s v="Secretaría de Infraestructura"/>
    <x v="13"/>
    <n v="2025"/>
    <s v="Julio"/>
    <s v="Julio"/>
    <n v="1"/>
    <s v="Meses"/>
    <s v="Selección abreviada subasta inversa"/>
    <s v="Inversión - Recursos de crédito;Inversión con Recursos propios"/>
    <s v="Inversión - Recursos de crédito/75972349756;Inversión con Recursos propios/52123033"/>
    <s v="BP260053241010104"/>
    <x v="10"/>
    <s v="23201010030202"/>
    <m/>
    <n v="52123033"/>
    <n v="0"/>
    <n v="52123033"/>
    <n v="76024472789"/>
    <n v="76024472789"/>
    <s v="NO"/>
    <s v="No Solicitada"/>
    <x v="13"/>
    <s v="solicitud de modificacion"/>
    <s v="Bienes"/>
    <s v="Suministros y maquinaria agropecuaria"/>
    <s v="No Aplica"/>
    <n v="1449"/>
    <s v="Aprobada"/>
    <s v="Inversión"/>
    <n v="0"/>
    <n v="76024472789"/>
    <n v="2"/>
    <s v="SI"/>
    <s v="SECOP II"/>
    <x v="13"/>
    <m/>
    <m/>
    <x v="6"/>
    <m/>
    <s v="Ingresos corrientes de Libre Destinación"/>
    <m/>
    <m/>
    <m/>
    <m/>
    <n v="0"/>
    <m/>
    <m/>
    <s v="BP26005324"/>
    <s v="BP26005324-19143"/>
    <m/>
    <s v="SI"/>
    <n v="1"/>
    <n v="0"/>
  </r>
  <r>
    <s v="4151"/>
    <s v="Secretaría de Infraestructura"/>
    <x v="14"/>
    <n v="2025"/>
    <s v="Julio"/>
    <s v="Julio"/>
    <n v="3"/>
    <s v="Meses"/>
    <s v="Concurso de Méritos Abierto"/>
    <s v="Inversión - Recursos de crédito;Inversión con Recursos propios"/>
    <s v="Inversión - Recursos de crédito/3441149545;Inversión con Recursos propios/186464445"/>
    <s v="BP260053751020505"/>
    <x v="11"/>
    <s v="2320202008"/>
    <m/>
    <n v="110287387"/>
    <n v="0"/>
    <n v="110287387"/>
    <n v="3627613990"/>
    <n v="3627613990"/>
    <s v="NO"/>
    <s v="No Solicitada"/>
    <x v="14"/>
    <s v="solicitud de modificacion"/>
    <s v="Servicios"/>
    <s v="Interventorías"/>
    <s v="IS - Jovenes que se Vinculen al Primer Empleo"/>
    <n v="1449"/>
    <s v="Aprobada"/>
    <s v="Inversión"/>
    <n v="0"/>
    <n v="3627613990"/>
    <n v="1"/>
    <s v="SI"/>
    <s v="SECOP II"/>
    <x v="14"/>
    <m/>
    <m/>
    <x v="6"/>
    <m/>
    <s v="Recursos de crédito interno"/>
    <m/>
    <m/>
    <m/>
    <m/>
    <n v="110287387"/>
    <m/>
    <m/>
    <s v="BP26005375"/>
    <s v="BP26005375-18984"/>
    <m/>
    <s v="SI"/>
    <n v="0"/>
    <n v="0"/>
  </r>
  <r>
    <s v="4151"/>
    <s v="Secretaría de Infraestructura"/>
    <x v="15"/>
    <n v="2025"/>
    <s v="Junio"/>
    <s v="Julio"/>
    <n v="3"/>
    <s v="Meses"/>
    <s v="Licitación pública (Obra pública)"/>
    <s v="Inversión - Recursos de crédito"/>
    <s v="Inversión - Recursos de crédito/32527849269"/>
    <s v="BP260053751010101"/>
    <x v="12"/>
    <s v="2320202005"/>
    <m/>
    <n v="34479542892"/>
    <n v="2495954700"/>
    <n v="31983588192"/>
    <n v="32527849269"/>
    <n v="32527849269"/>
    <s v="NO"/>
    <s v="No Solicitada"/>
    <x v="15"/>
    <s v="solicitud de modificacion"/>
    <s v="Obras"/>
    <s v="Construcción y adecuación de obras, vías y andenes"/>
    <s v="IS - Adulto no Beneficiario de Pension de Vejez"/>
    <n v="1449"/>
    <s v="Aprobada"/>
    <s v="Inversión"/>
    <n v="0"/>
    <n v="32527849269"/>
    <n v="2"/>
    <s v="SI"/>
    <s v="SECOP II"/>
    <x v="15"/>
    <m/>
    <m/>
    <x v="6"/>
    <m/>
    <s v="Recursos de crédito interno"/>
    <m/>
    <m/>
    <m/>
    <m/>
    <n v="0"/>
    <m/>
    <m/>
    <s v="BP26005375"/>
    <s v="BP26005375-18978"/>
    <m/>
    <s v="SI"/>
    <n v="1"/>
    <n v="0"/>
  </r>
  <r>
    <s v="4151"/>
    <s v="Secretaría de Infraestructura"/>
    <x v="16"/>
    <n v="2025"/>
    <s v="Junio"/>
    <s v="Julio"/>
    <n v="4"/>
    <s v="Meses"/>
    <s v="Licitación pública (Obra pública)"/>
    <s v="Inversión - Recursos de crédito;Inversión con Recursos propios"/>
    <s v="Inversión - Recursos de crédito/3867234367;Inversión con Recursos propios/2506082136"/>
    <s v="BP260053751020504"/>
    <x v="13"/>
    <s v="2320202005"/>
    <m/>
    <n v="1102873861"/>
    <n v="0"/>
    <n v="558612784"/>
    <n v="6373316503"/>
    <n v="6373316503"/>
    <s v="NO"/>
    <s v="No Solicitada"/>
    <x v="16"/>
    <s v="solicitud de modificacion"/>
    <s v="Obras"/>
    <s v="Construcción y adecuación de obras, vías y andenes"/>
    <s v="IS - Jovenes Desescolarizados y Graduados de Bachillerato de Estratos 1 y 2"/>
    <n v="1449"/>
    <s v="Aprobada"/>
    <s v="Inversión"/>
    <n v="0"/>
    <n v="6373316503"/>
    <n v="3"/>
    <s v="SI"/>
    <s v="SECOP II"/>
    <x v="16"/>
    <m/>
    <m/>
    <x v="6"/>
    <m/>
    <s v="Recursos de crédito interno"/>
    <m/>
    <m/>
    <m/>
    <m/>
    <n v="1102873861"/>
    <m/>
    <m/>
    <s v="BP26005375"/>
    <s v="BP26005375-18472"/>
    <m/>
    <s v="SI"/>
    <n v="1"/>
    <n v="0"/>
  </r>
  <r>
    <s v="4173"/>
    <s v="Secretaría de Desarrollo Territorial y Participación Ciudadana"/>
    <x v="17"/>
    <n v="2025"/>
    <s v="Julio"/>
    <s v="Agosto"/>
    <n v="5"/>
    <s v="Meses"/>
    <s v="Licitación pública (Obra pública)"/>
    <s v="Inversión - Recursos de crédito"/>
    <s v="Inversión - Recursos de crédito/2400326473"/>
    <s v="BP260053932010117"/>
    <x v="14"/>
    <s v="2320202005"/>
    <m/>
    <n v="3292583757"/>
    <n v="1922049016"/>
    <n v="1370534741"/>
    <n v="2400326473"/>
    <n v="1370534741"/>
    <s v="SI"/>
    <s v="Solicitada"/>
    <x v="17"/>
    <s v="Solicitud de inclusion"/>
    <s v="Obras"/>
    <s v="Adecuación de insfraestructura física"/>
    <s v="SA - Infraestructura Fisica"/>
    <n v="1449"/>
    <s v="Aprobada"/>
    <s v="Inversión"/>
    <n v="0"/>
    <n v="2400326473"/>
    <m/>
    <s v="SI"/>
    <s v="SECOP II"/>
    <x v="17"/>
    <m/>
    <s v="Sin Justificación_x000a_"/>
    <x v="7"/>
    <m/>
    <s v="Recursos de crédito interno"/>
    <m/>
    <m/>
    <m/>
    <m/>
    <n v="0"/>
    <m/>
    <m/>
    <s v="BP26005393"/>
    <s v="BP26005393-19383"/>
    <m/>
    <s v="SI"/>
    <n v="0"/>
    <n v="0"/>
  </r>
  <r>
    <s v="4173"/>
    <s v="Secretaría de Desarrollo Territorial y Participación Ciudadana"/>
    <x v="18"/>
    <n v="2025"/>
    <s v="Junio"/>
    <s v="Junio"/>
    <n v="5"/>
    <s v="Meses"/>
    <s v="Selección Abreviada Menor Cuantía"/>
    <s v="Inversión - Recursos de crédito"/>
    <s v="Inversión - Recursos de crédito/1176046140"/>
    <s v="BP260053932010117"/>
    <x v="14"/>
    <s v="2320202005"/>
    <m/>
    <n v="1922049016"/>
    <n v="746002876"/>
    <n v="1176046140"/>
    <n v="1176046140"/>
    <n v="1176046140"/>
    <s v="NO"/>
    <s v="No Solicitada"/>
    <x v="18"/>
    <s v="solicitud de modificacion"/>
    <s v="Obras"/>
    <s v="Adecuación de insfraestructura física"/>
    <s v="SA - Infraestructura Fisica"/>
    <n v="1449"/>
    <s v="Aprobada"/>
    <s v="Inversión"/>
    <n v="0"/>
    <n v="1176046140"/>
    <n v="1"/>
    <s v="SI"/>
    <s v="SECOP II"/>
    <x v="18"/>
    <m/>
    <m/>
    <x v="7"/>
    <m/>
    <s v="Recursos de crédito interno"/>
    <m/>
    <m/>
    <m/>
    <m/>
    <n v="0"/>
    <m/>
    <m/>
    <s v="BP26005393"/>
    <s v="BP26005393-18986"/>
    <m/>
    <s v="SI"/>
    <n v="0"/>
    <n v="0"/>
  </r>
  <r>
    <s v="4173"/>
    <s v="Secretaría de Desarrollo Territorial y Participación Ciudadana"/>
    <x v="19"/>
    <n v="2025"/>
    <s v="Julio"/>
    <s v="Julio"/>
    <n v="5"/>
    <s v="Meses"/>
    <s v="Licitación pública (Obra pública)"/>
    <s v="Inversión - Recursos de crédito"/>
    <s v="Inversión - Recursos de crédito/2753325060"/>
    <s v="BP260053932010117"/>
    <x v="14"/>
    <s v="2320202005"/>
    <m/>
    <n v="1922049016"/>
    <n v="1176046140"/>
    <n v="746002876"/>
    <n v="2753325060"/>
    <n v="746002876"/>
    <s v="SI"/>
    <s v="Solicitada"/>
    <x v="19"/>
    <s v="Solicitud de inclusion"/>
    <s v="Obras"/>
    <s v="Adecuación de insfraestructura física"/>
    <s v="SA - Infraestructura Fisica"/>
    <n v="1449"/>
    <s v="Aprobada"/>
    <s v="Inversión"/>
    <n v="0"/>
    <n v="2753325060"/>
    <m/>
    <s v="SI"/>
    <s v="SECOP II"/>
    <x v="19"/>
    <m/>
    <m/>
    <x v="7"/>
    <m/>
    <s v="Recursos de crédito interno"/>
    <m/>
    <m/>
    <m/>
    <m/>
    <n v="0"/>
    <m/>
    <m/>
    <s v="BP26005393"/>
    <s v="BP26005393-18970"/>
    <m/>
    <s v="SI"/>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E49D1C-94C2-484D-8513-E3577BF40DE4}" name="TablaDinámica1" cacheId="2" applyNumberFormats="0" applyBorderFormats="0" applyFontFormats="0" applyPatternFormats="0" applyAlignmentFormats="0" applyWidthHeightFormats="1" dataCaption="Valores" updatedVersion="8" minRefreshableVersion="3" itemPrintTitles="1" createdVersion="8" indent="0" compact="0" compactData="0" multipleFieldFilters="0">
  <location ref="B12:I34" firstHeaderRow="1" firstDataRow="1" firstDataCol="7" rowPageCount="4" colPageCount="1"/>
  <pivotFields count="60">
    <pivotField axis="axisRow" compact="0" outline="0" multipleItemSelectionAllowed="1" showAll="0" defaultSubtotal="0">
      <items count="8">
        <item m="1" x="4"/>
        <item x="0"/>
        <item x="1"/>
        <item m="1" x="6"/>
        <item m="1" x="5"/>
        <item m="1" x="7"/>
        <item x="2"/>
        <item x="3"/>
      </items>
      <extLst>
        <ext xmlns:x14="http://schemas.microsoft.com/office/spreadsheetml/2009/9/main" uri="{2946ED86-A175-432a-8AC1-64E0C546D7DE}">
          <x14:pivotField fillDownLabels="1"/>
        </ext>
      </extLst>
    </pivotField>
    <pivotField axis="axisRow" compact="0" outline="0" showAll="0" defaultSubtotal="0">
      <items count="18">
        <item m="1" x="13"/>
        <item x="0"/>
        <item x="1"/>
        <item x="2"/>
        <item x="3"/>
        <item x="4"/>
        <item x="5"/>
        <item x="6"/>
        <item m="1" x="16"/>
        <item sd="0" x="7"/>
        <item x="8"/>
        <item m="1" x="14"/>
        <item m="1" x="17"/>
        <item x="11"/>
        <item m="1" x="15"/>
        <item x="9"/>
        <item x="10"/>
        <item x="12"/>
      </items>
      <extLst>
        <ext xmlns:x14="http://schemas.microsoft.com/office/spreadsheetml/2009/9/main" uri="{2946ED86-A175-432a-8AC1-64E0C546D7DE}">
          <x14:pivotField fillDownLabels="1"/>
        </ext>
      </extLst>
    </pivotField>
    <pivotField axis="axisRow" compact="0" outline="0" showAll="0" defaultSubtotal="0">
      <items count="32">
        <item x="9"/>
        <item m="1" x="31"/>
        <item x="15"/>
        <item x="17"/>
        <item x="18"/>
        <item x="2"/>
        <item x="16"/>
        <item x="3"/>
        <item m="1" x="30"/>
        <item x="1"/>
        <item x="6"/>
        <item x="10"/>
        <item x="11"/>
        <item x="4"/>
        <item x="5"/>
        <item x="19"/>
        <item x="14"/>
        <item x="12"/>
        <item x="0"/>
        <item x="8"/>
        <item x="7"/>
        <item x="13"/>
        <item x="20"/>
        <item x="26"/>
        <item x="27"/>
        <item x="28"/>
        <item x="21"/>
        <item x="22"/>
        <item x="23"/>
        <item x="24"/>
        <item x="25"/>
        <item x="29"/>
      </items>
      <extLst>
        <ext xmlns:x14="http://schemas.microsoft.com/office/spreadsheetml/2009/9/main" uri="{2946ED86-A175-432a-8AC1-64E0C546D7DE}">
          <x14:pivotField fillDownLabels="1"/>
        </ext>
      </extLst>
    </pivotField>
    <pivotField axis="axisRow" compact="0" outline="0" showAll="0" defaultSubtotal="0">
      <items count="48">
        <item x="13"/>
        <item m="1" x="40"/>
        <item x="11"/>
        <item x="0"/>
        <item x="5"/>
        <item x="16"/>
        <item m="1" x="43"/>
        <item x="12"/>
        <item x="2"/>
        <item x="6"/>
        <item x="3"/>
        <item x="14"/>
        <item x="7"/>
        <item m="1" x="44"/>
        <item m="1" x="46"/>
        <item x="17"/>
        <item x="9"/>
        <item x="4"/>
        <item x="8"/>
        <item m="1" x="33"/>
        <item m="1" x="34"/>
        <item x="1"/>
        <item x="10"/>
        <item m="1" x="45"/>
        <item m="1" x="39"/>
        <item m="1" x="35"/>
        <item x="20"/>
        <item m="1" x="47"/>
        <item x="15"/>
        <item m="1" x="36"/>
        <item m="1" x="38"/>
        <item m="1" x="37"/>
        <item x="29"/>
        <item m="1" x="41"/>
        <item m="1" x="42"/>
        <item x="18"/>
        <item x="19"/>
        <item x="21"/>
        <item x="22"/>
        <item x="23"/>
        <item x="24"/>
        <item x="25"/>
        <item x="26"/>
        <item x="27"/>
        <item x="28"/>
        <item x="30"/>
        <item x="31"/>
        <item x="32"/>
      </items>
      <extLst>
        <ext xmlns:x14="http://schemas.microsoft.com/office/spreadsheetml/2009/9/main" uri="{2946ED86-A175-432a-8AC1-64E0C546D7DE}">
          <x14:pivotField fillDownLabels="1"/>
        </ext>
      </extLst>
    </pivotField>
    <pivotField axis="axisRow" compact="0" outline="0" showAll="0" sortType="ascending" defaultSubtotal="0">
      <items count="193">
        <item x="97"/>
        <item x="109"/>
        <item x="69"/>
        <item x="73"/>
        <item x="70"/>
        <item m="1" x="190"/>
        <item x="11"/>
        <item x="33"/>
        <item x="6"/>
        <item x="36"/>
        <item x="7"/>
        <item x="34"/>
        <item x="20"/>
        <item x="42"/>
        <item x="5"/>
        <item x="38"/>
        <item x="9"/>
        <item m="1" x="146"/>
        <item x="39"/>
        <item x="8"/>
        <item x="43"/>
        <item x="10"/>
        <item x="37"/>
        <item x="12"/>
        <item x="75"/>
        <item x="31"/>
        <item x="25"/>
        <item x="62"/>
        <item m="1" x="140"/>
        <item m="1" x="191"/>
        <item m="1" x="150"/>
        <item x="107"/>
        <item m="1" x="148"/>
        <item x="79"/>
        <item x="0"/>
        <item x="53"/>
        <item x="2"/>
        <item x="21"/>
        <item x="100"/>
        <item x="55"/>
        <item m="1" x="179"/>
        <item x="46"/>
        <item x="40"/>
        <item m="1" x="130"/>
        <item x="111"/>
        <item x="13"/>
        <item x="35"/>
        <item x="4"/>
        <item x="14"/>
        <item x="41"/>
        <item x="15"/>
        <item x="16"/>
        <item x="17"/>
        <item x="18"/>
        <item x="19"/>
        <item m="1" x="147"/>
        <item x="68"/>
        <item x="65"/>
        <item x="23"/>
        <item m="1" x="185"/>
        <item m="1" x="145"/>
        <item x="32"/>
        <item x="3"/>
        <item m="1" x="192"/>
        <item m="1" x="118"/>
        <item x="56"/>
        <item m="1" x="141"/>
        <item x="26"/>
        <item x="1"/>
        <item x="54"/>
        <item x="76"/>
        <item x="44"/>
        <item m="1" x="180"/>
        <item m="1" x="151"/>
        <item x="50"/>
        <item x="67"/>
        <item x="64"/>
        <item x="66"/>
        <item x="105"/>
        <item x="63"/>
        <item x="106"/>
        <item m="1" x="181"/>
        <item m="1" x="186"/>
        <item m="1" x="187"/>
        <item m="1" x="149"/>
        <item x="22"/>
        <item x="101"/>
        <item m="1" x="119"/>
        <item x="57"/>
        <item m="1" x="142"/>
        <item x="27"/>
        <item x="83"/>
        <item m="1" x="123"/>
        <item x="45"/>
        <item x="77"/>
        <item m="1" x="152"/>
        <item x="47"/>
        <item m="1" x="164"/>
        <item x="29"/>
        <item m="1" x="188"/>
        <item x="102"/>
        <item m="1" x="143"/>
        <item x="28"/>
        <item m="1" x="158"/>
        <item m="1" x="144"/>
        <item m="1" x="120"/>
        <item x="58"/>
        <item x="24"/>
        <item m="1" x="138"/>
        <item x="78"/>
        <item m="1" x="162"/>
        <item x="74"/>
        <item m="1" x="182"/>
        <item x="48"/>
        <item x="30"/>
        <item m="1" x="183"/>
        <item x="59"/>
        <item x="103"/>
        <item m="1" x="189"/>
        <item x="81"/>
        <item m="1" x="153"/>
        <item m="1" x="175"/>
        <item m="1" x="161"/>
        <item x="51"/>
        <item m="1" x="131"/>
        <item x="84"/>
        <item m="1" x="154"/>
        <item x="104"/>
        <item x="60"/>
        <item m="1" x="163"/>
        <item m="1" x="184"/>
        <item x="80"/>
        <item m="1" x="176"/>
        <item m="1" x="174"/>
        <item x="49"/>
        <item m="1" x="159"/>
        <item x="52"/>
        <item m="1" x="178"/>
        <item m="1" x="173"/>
        <item m="1" x="132"/>
        <item x="61"/>
        <item m="1" x="160"/>
        <item m="1" x="170"/>
        <item x="82"/>
        <item x="98"/>
        <item m="1" x="155"/>
        <item m="1" x="156"/>
        <item m="1" x="133"/>
        <item x="112"/>
        <item x="99"/>
        <item m="1" x="169"/>
        <item m="1" x="172"/>
        <item m="1" x="167"/>
        <item m="1" x="177"/>
        <item m="1" x="166"/>
        <item m="1" x="157"/>
        <item m="1" x="134"/>
        <item m="1" x="171"/>
        <item x="113"/>
        <item x="72"/>
        <item m="1" x="125"/>
        <item x="108"/>
        <item m="1" x="128"/>
        <item m="1" x="165"/>
        <item m="1" x="129"/>
        <item m="1" x="121"/>
        <item m="1" x="124"/>
        <item m="1" x="116"/>
        <item m="1" x="114"/>
        <item m="1" x="122"/>
        <item m="1" x="115"/>
        <item x="71"/>
        <item x="92"/>
        <item x="96"/>
        <item x="94"/>
        <item x="110"/>
        <item x="91"/>
        <item x="95"/>
        <item x="93"/>
        <item m="1" x="168"/>
        <item x="90"/>
        <item m="1" x="135"/>
        <item x="89"/>
        <item x="85"/>
        <item m="1" x="136"/>
        <item x="86"/>
        <item x="87"/>
        <item m="1" x="137"/>
        <item x="88"/>
        <item m="1" x="126"/>
        <item m="1" x="139"/>
        <item m="1" x="127"/>
        <item m="1" x="11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8">
        <item m="1" x="62"/>
        <item m="1" x="63"/>
        <item x="2"/>
        <item m="1" x="77"/>
        <item m="1" x="60"/>
        <item m="1" x="64"/>
        <item m="1" x="75"/>
        <item m="1" x="58"/>
        <item x="10"/>
        <item x="22"/>
        <item x="20"/>
        <item m="1" x="74"/>
        <item x="5"/>
        <item m="1" x="61"/>
        <item x="7"/>
        <item x="0"/>
        <item x="16"/>
        <item m="1" x="50"/>
        <item m="1" x="72"/>
        <item x="38"/>
        <item x="13"/>
        <item x="14"/>
        <item m="1" x="71"/>
        <item x="45"/>
        <item m="1" x="52"/>
        <item x="3"/>
        <item x="43"/>
        <item m="1" x="76"/>
        <item m="1" x="59"/>
        <item m="1" x="49"/>
        <item m="1" x="66"/>
        <item m="1" x="65"/>
        <item m="1" x="73"/>
        <item x="42"/>
        <item m="1" x="67"/>
        <item m="1" x="69"/>
        <item m="1" x="70"/>
        <item m="1" x="68"/>
        <item x="28"/>
        <item m="1" x="51"/>
        <item m="1" x="53"/>
        <item m="1" x="54"/>
        <item m="1" x="55"/>
        <item m="1" x="56"/>
        <item m="1" x="57"/>
        <item x="17"/>
        <item x="1"/>
        <item x="4"/>
        <item x="6"/>
        <item x="8"/>
        <item x="9"/>
        <item x="11"/>
        <item x="12"/>
        <item x="18"/>
        <item x="15"/>
        <item x="19"/>
        <item x="21"/>
        <item x="23"/>
        <item x="24"/>
        <item x="25"/>
        <item x="26"/>
        <item x="27"/>
        <item x="29"/>
        <item x="30"/>
        <item x="31"/>
        <item x="32"/>
        <item x="33"/>
        <item x="34"/>
        <item x="35"/>
        <item x="36"/>
        <item x="37"/>
        <item x="39"/>
        <item x="40"/>
        <item x="41"/>
        <item x="44"/>
        <item x="46"/>
        <item x="47"/>
        <item x="48"/>
      </items>
      <extLst>
        <ext xmlns:x14="http://schemas.microsoft.com/office/spreadsheetml/2009/9/main" uri="{2946ED86-A175-432a-8AC1-64E0C546D7DE}">
          <x14:pivotField fillDownLabels="1"/>
        </ext>
      </extLst>
    </pivotField>
    <pivotField name="ID PAA" axis="axisRow" compact="0" outline="0" showAll="0" defaultSubtotal="0">
      <items count="72">
        <item x="2"/>
        <item x="3"/>
        <item m="1" x="67"/>
        <item m="1" x="66"/>
        <item m="1" x="68"/>
        <item m="1" x="65"/>
        <item x="31"/>
        <item x="32"/>
        <item x="11"/>
        <item x="7"/>
        <item x="8"/>
        <item x="19"/>
        <item x="10"/>
        <item x="12"/>
        <item x="4"/>
        <item x="15"/>
        <item x="16"/>
        <item x="60"/>
        <item x="59"/>
        <item x="58"/>
        <item x="9"/>
        <item x="5"/>
        <item x="20"/>
        <item m="1" x="64"/>
        <item x="43"/>
        <item x="0"/>
        <item x="50"/>
        <item x="30"/>
        <item x="1"/>
        <item x="40"/>
        <item x="33"/>
        <item x="53"/>
        <item x="55"/>
        <item x="54"/>
        <item x="52"/>
        <item x="36"/>
        <item x="44"/>
        <item m="1" x="69"/>
        <item x="41"/>
        <item x="25"/>
        <item x="26"/>
        <item x="21"/>
        <item x="23"/>
        <item x="22"/>
        <item x="24"/>
        <item m="1" x="71"/>
        <item x="13"/>
        <item x="6"/>
        <item x="57"/>
        <item x="18"/>
        <item x="45"/>
        <item x="46"/>
        <item x="14"/>
        <item x="17"/>
        <item x="28"/>
        <item x="27"/>
        <item x="34"/>
        <item x="39"/>
        <item m="1" x="70"/>
        <item x="56"/>
        <item x="35"/>
        <item x="37"/>
        <item x="48"/>
        <item x="49"/>
        <item x="47"/>
        <item x="51"/>
        <item x="42"/>
        <item x="38"/>
        <item x="29"/>
        <item x="62"/>
        <item x="61"/>
        <item x="6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items count="13">
        <item m="1" x="11"/>
        <item m="1" x="12"/>
        <item x="1"/>
        <item x="2"/>
        <item h="1" x="4"/>
        <item x="3"/>
        <item x="5"/>
        <item h="1" m="1" x="10"/>
        <item h="1" x="7"/>
        <item h="1" m="1" x="9"/>
        <item h="1" x="0"/>
        <item h="1" x="6"/>
        <item h="1" x="8"/>
      </items>
      <extLst>
        <ext xmlns:x14="http://schemas.microsoft.com/office/spreadsheetml/2009/9/main" uri="{2946ED86-A175-432a-8AC1-64E0C546D7DE}">
          <x14:pivotField fillDownLabels="1"/>
        </ext>
      </extLst>
    </pivotField>
    <pivotField axis="axisPage" compact="0" outline="0" multipleItemSelectionAllowed="1" showAll="0" defaultSubtotal="0">
      <items count="6">
        <item x="0"/>
        <item h="1" x="2"/>
        <item h="1" m="1" x="4"/>
        <item h="1" x="3"/>
        <item h="1" m="1" x="5"/>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showAll="0" defaultSubtotal="0">
      <items count="6">
        <item x="1"/>
        <item x="2"/>
        <item x="3"/>
        <item x="4"/>
        <item m="1" x="5"/>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4">
        <item x="1"/>
        <item x="2"/>
        <item x="3"/>
        <item h="1"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7">
    <field x="1"/>
    <field x="0"/>
    <field x="2"/>
    <field x="3"/>
    <field x="4"/>
    <field x="8"/>
    <field x="9"/>
  </rowFields>
  <rowItems count="22">
    <i>
      <x v="2"/>
      <x v="1"/>
      <x v="9"/>
      <x v="21"/>
      <x v="36"/>
      <x v="15"/>
      <x/>
    </i>
    <i r="4">
      <x v="62"/>
      <x v="2"/>
      <x v="1"/>
    </i>
    <i>
      <x v="3"/>
      <x v="1"/>
      <x v="5"/>
      <x v="8"/>
      <x v="6"/>
      <x v="14"/>
      <x v="8"/>
    </i>
    <i r="4">
      <x v="12"/>
      <x v="12"/>
      <x v="22"/>
    </i>
    <i r="4">
      <x v="14"/>
      <x v="47"/>
      <x v="21"/>
    </i>
    <i r="4">
      <x v="47"/>
      <x v="25"/>
      <x v="14"/>
    </i>
    <i>
      <x v="4"/>
      <x v="1"/>
      <x v="14"/>
      <x v="4"/>
      <x v="37"/>
      <x v="15"/>
      <x v="41"/>
    </i>
    <i r="4">
      <x v="58"/>
      <x v="2"/>
      <x v="42"/>
    </i>
    <i r="4">
      <x v="85"/>
      <x v="15"/>
      <x v="43"/>
    </i>
    <i>
      <x v="6"/>
      <x v="1"/>
      <x/>
      <x v="16"/>
      <x v="25"/>
      <x v="15"/>
      <x v="6"/>
    </i>
    <i r="2">
      <x v="20"/>
      <x v="12"/>
      <x v="98"/>
      <x v="20"/>
      <x v="68"/>
    </i>
    <i>
      <x v="7"/>
      <x v="1"/>
      <x v="11"/>
      <x v="22"/>
      <x v="7"/>
      <x v="15"/>
      <x v="30"/>
    </i>
    <i r="4">
      <x v="9"/>
      <x v="2"/>
      <x v="35"/>
    </i>
    <i r="4">
      <x v="11"/>
      <x v="15"/>
      <x v="56"/>
    </i>
    <i r="4">
      <x v="13"/>
      <x v="16"/>
      <x v="30"/>
    </i>
    <i r="4">
      <x v="15"/>
      <x v="16"/>
      <x v="67"/>
    </i>
    <i r="4">
      <x v="46"/>
      <x v="21"/>
      <x v="60"/>
    </i>
    <i r="4">
      <x v="49"/>
      <x v="21"/>
      <x v="60"/>
    </i>
    <i>
      <x v="9"/>
    </i>
    <i>
      <x v="10"/>
      <x v="1"/>
      <x v="17"/>
      <x v="7"/>
      <x v="41"/>
      <x v="55"/>
      <x v="50"/>
    </i>
    <i r="4">
      <x v="96"/>
      <x v="55"/>
      <x v="51"/>
    </i>
    <i t="grand">
      <x/>
    </i>
  </rowItems>
  <colItems count="1">
    <i/>
  </colItems>
  <pageFields count="4">
    <pageField fld="16" hier="-1"/>
    <pageField fld="12" hier="-1"/>
    <pageField fld="14" hier="-1"/>
    <pageField fld="29" hier="-1"/>
  </pageFields>
  <dataFields count="1">
    <dataField name="Valor $" fld="7" baseField="1" baseItem="4"/>
  </dataFields>
  <formats count="496">
    <format dxfId="800">
      <pivotArea outline="0" collapsedLevelsAreSubtotals="1" fieldPosition="0"/>
    </format>
    <format dxfId="799">
      <pivotArea field="2" type="button" dataOnly="0" labelOnly="1" outline="0" axis="axisRow" fieldPosition="2"/>
    </format>
    <format dxfId="798">
      <pivotArea dataOnly="0" labelOnly="1" grandRow="1" outline="0" fieldPosition="0"/>
    </format>
    <format dxfId="797">
      <pivotArea dataOnly="0" labelOnly="1" grandCol="1" outline="0" fieldPosition="0"/>
    </format>
    <format dxfId="796">
      <pivotArea outline="0" collapsedLevelsAreSubtotals="1" fieldPosition="0"/>
    </format>
    <format dxfId="795">
      <pivotArea field="2" type="button" dataOnly="0" labelOnly="1" outline="0" axis="axisRow" fieldPosition="2"/>
    </format>
    <format dxfId="794">
      <pivotArea dataOnly="0" labelOnly="1" grandRow="1" outline="0" fieldPosition="0"/>
    </format>
    <format dxfId="793">
      <pivotArea dataOnly="0" labelOnly="1" outline="0" fieldPosition="0">
        <references count="1">
          <reference field="4" count="0"/>
        </references>
      </pivotArea>
    </format>
    <format dxfId="792">
      <pivotArea dataOnly="0" labelOnly="1" outline="0" fieldPosition="0">
        <references count="1">
          <reference field="4" count="0"/>
        </references>
      </pivotArea>
    </format>
    <format dxfId="791">
      <pivotArea outline="0" collapsedLevelsAreSubtotals="1" fieldPosition="0"/>
    </format>
    <format dxfId="790">
      <pivotArea type="all" dataOnly="0" outline="0" fieldPosition="0"/>
    </format>
    <format dxfId="789">
      <pivotArea outline="0" collapsedLevelsAreSubtotals="1" fieldPosition="0"/>
    </format>
    <format dxfId="788">
      <pivotArea field="11" type="button" dataOnly="0" labelOnly="1" outline="0"/>
    </format>
    <format dxfId="787">
      <pivotArea field="2" type="button" dataOnly="0" labelOnly="1" outline="0" axis="axisRow" fieldPosition="2"/>
    </format>
    <format dxfId="786">
      <pivotArea field="4" type="button" dataOnly="0" labelOnly="1" outline="0" axis="axisRow" fieldPosition="4"/>
    </format>
    <format dxfId="785">
      <pivotArea field="1" type="button" dataOnly="0" labelOnly="1" outline="0" axis="axisRow" fieldPosition="0"/>
    </format>
    <format dxfId="784">
      <pivotArea dataOnly="0" labelOnly="1" grandRow="1" outline="0" fieldPosition="0"/>
    </format>
    <format dxfId="783">
      <pivotArea dataOnly="0" labelOnly="1" grandCol="1" outline="0" fieldPosition="0"/>
    </format>
    <format dxfId="782">
      <pivotArea dataOnly="0" labelOnly="1" outline="0" fieldPosition="0">
        <references count="1">
          <reference field="4" count="0"/>
        </references>
      </pivotArea>
    </format>
    <format dxfId="781">
      <pivotArea dataOnly="0" labelOnly="1" outline="0" fieldPosition="0">
        <references count="1">
          <reference field="4" count="0"/>
        </references>
      </pivotArea>
    </format>
    <format dxfId="780">
      <pivotArea outline="0" collapsedLevelsAreSubtotals="1" fieldPosition="0"/>
    </format>
    <format dxfId="779">
      <pivotArea dataOnly="0" labelOnly="1" outline="0" axis="axisValues" fieldPosition="0"/>
    </format>
    <format dxfId="778">
      <pivotArea field="1" type="button" dataOnly="0" labelOnly="1" outline="0" axis="axisRow" fieldPosition="0"/>
    </format>
    <format dxfId="777">
      <pivotArea dataOnly="0" labelOnly="1" outline="0" fieldPosition="0">
        <references count="1">
          <reference field="1" count="4">
            <x v="3"/>
            <x v="5"/>
            <x v="6"/>
            <x v="10"/>
          </reference>
        </references>
      </pivotArea>
    </format>
    <format dxfId="776">
      <pivotArea field="1" type="button" dataOnly="0" labelOnly="1" outline="0" axis="axisRow" fieldPosition="0"/>
    </format>
    <format dxfId="775">
      <pivotArea dataOnly="0" labelOnly="1" outline="0" fieldPosition="0">
        <references count="1">
          <reference field="1" count="4">
            <x v="3"/>
            <x v="5"/>
            <x v="6"/>
            <x v="10"/>
          </reference>
        </references>
      </pivotArea>
    </format>
    <format dxfId="774">
      <pivotArea field="1" type="button" dataOnly="0" labelOnly="1" outline="0" axis="axisRow" fieldPosition="0"/>
    </format>
    <format dxfId="773">
      <pivotArea dataOnly="0" labelOnly="1" outline="0" fieldPosition="0">
        <references count="1">
          <reference field="1" count="4">
            <x v="3"/>
            <x v="5"/>
            <x v="6"/>
            <x v="10"/>
          </reference>
        </references>
      </pivotArea>
    </format>
    <format dxfId="772">
      <pivotArea field="1" type="button" dataOnly="0" labelOnly="1" outline="0" axis="axisRow" fieldPosition="0"/>
    </format>
    <format dxfId="771">
      <pivotArea dataOnly="0" labelOnly="1" outline="0" fieldPosition="0">
        <references count="1">
          <reference field="1" count="4">
            <x v="3"/>
            <x v="5"/>
            <x v="6"/>
            <x v="10"/>
          </reference>
        </references>
      </pivotArea>
    </format>
    <format dxfId="770">
      <pivotArea dataOnly="0" labelOnly="1" outline="0" fieldPosition="0">
        <references count="1">
          <reference field="8" count="0"/>
        </references>
      </pivotArea>
    </format>
    <format dxfId="769">
      <pivotArea dataOnly="0" labelOnly="1" outline="0" fieldPosition="0">
        <references count="1">
          <reference field="8" count="0"/>
        </references>
      </pivotArea>
    </format>
    <format dxfId="768">
      <pivotArea dataOnly="0" labelOnly="1" outline="0" fieldPosition="0">
        <references count="1">
          <reference field="8" count="0"/>
        </references>
      </pivotArea>
    </format>
    <format dxfId="767">
      <pivotArea dataOnly="0" labelOnly="1" outline="0" fieldPosition="0">
        <references count="1">
          <reference field="8" count="0"/>
        </references>
      </pivotArea>
    </format>
    <format dxfId="766">
      <pivotArea dataOnly="0" labelOnly="1" outline="0" fieldPosition="0">
        <references count="1">
          <reference field="8" count="0"/>
        </references>
      </pivotArea>
    </format>
    <format dxfId="765">
      <pivotArea dataOnly="0" labelOnly="1" outline="0" axis="axisValues" fieldPosition="0"/>
    </format>
    <format dxfId="764">
      <pivotArea type="all" dataOnly="0" outline="0" fieldPosition="0"/>
    </format>
    <format dxfId="763">
      <pivotArea outline="0" collapsedLevelsAreSubtotals="1" fieldPosition="0"/>
    </format>
    <format dxfId="762">
      <pivotArea field="1" type="button" dataOnly="0" labelOnly="1" outline="0" axis="axisRow" fieldPosition="0"/>
    </format>
    <format dxfId="761">
      <pivotArea field="4" type="button" dataOnly="0" labelOnly="1" outline="0" axis="axisRow" fieldPosition="4"/>
    </format>
    <format dxfId="760">
      <pivotArea field="8" type="button" dataOnly="0" labelOnly="1" outline="0" axis="axisRow" fieldPosition="5"/>
    </format>
    <format dxfId="759">
      <pivotArea dataOnly="0" labelOnly="1" outline="0" fieldPosition="0">
        <references count="1">
          <reference field="1" count="4">
            <x v="3"/>
            <x v="5"/>
            <x v="6"/>
            <x v="10"/>
          </reference>
        </references>
      </pivotArea>
    </format>
    <format dxfId="758">
      <pivotArea dataOnly="0" labelOnly="1" grandRow="1" outline="0" fieldPosition="0"/>
    </format>
    <format dxfId="757">
      <pivotArea dataOnly="0" labelOnly="1" outline="0" fieldPosition="0">
        <references count="2">
          <reference field="1" count="1" selected="0">
            <x v="3"/>
          </reference>
          <reference field="4" count="6">
            <x v="6"/>
            <x v="10"/>
            <x v="12"/>
            <x v="17"/>
            <x v="19"/>
            <x v="21"/>
          </reference>
        </references>
      </pivotArea>
    </format>
    <format dxfId="756">
      <pivotArea dataOnly="0" labelOnly="1" outline="0" fieldPosition="0">
        <references count="2">
          <reference field="1" count="1" selected="0">
            <x v="5"/>
          </reference>
          <reference field="4" count="1">
            <x v="29"/>
          </reference>
        </references>
      </pivotArea>
    </format>
    <format dxfId="755">
      <pivotArea dataOnly="0" labelOnly="1" outline="0" fieldPosition="0">
        <references count="2">
          <reference field="1" count="1" selected="0">
            <x v="6"/>
          </reference>
          <reference field="4" count="2">
            <x v="98"/>
            <x v="114"/>
          </reference>
        </references>
      </pivotArea>
    </format>
    <format dxfId="754">
      <pivotArea dataOnly="0" labelOnly="1" outline="0" fieldPosition="0">
        <references count="2">
          <reference field="1" count="1" selected="0">
            <x v="10"/>
          </reference>
          <reference field="4" count="4">
            <x v="41"/>
            <x v="74"/>
            <x v="113"/>
            <x v="123"/>
          </reference>
        </references>
      </pivotArea>
    </format>
    <format dxfId="753">
      <pivotArea dataOnly="0" labelOnly="1" outline="0" fieldPosition="0">
        <references count="3">
          <reference field="1" count="1" selected="0">
            <x v="3"/>
          </reference>
          <reference field="4" count="1" selected="0">
            <x v="6"/>
          </reference>
          <reference field="8" count="1">
            <x v="15"/>
          </reference>
        </references>
      </pivotArea>
    </format>
    <format dxfId="752">
      <pivotArea dataOnly="0" labelOnly="1" outline="0" fieldPosition="0">
        <references count="3">
          <reference field="1" count="1" selected="0">
            <x v="3"/>
          </reference>
          <reference field="4" count="1" selected="0">
            <x v="10"/>
          </reference>
          <reference field="8" count="1">
            <x v="13"/>
          </reference>
        </references>
      </pivotArea>
    </format>
    <format dxfId="751">
      <pivotArea dataOnly="0" labelOnly="1" outline="0" fieldPosition="0">
        <references count="3">
          <reference field="1" count="1" selected="0">
            <x v="3"/>
          </reference>
          <reference field="4" count="1" selected="0">
            <x v="12"/>
          </reference>
          <reference field="8" count="1">
            <x v="12"/>
          </reference>
        </references>
      </pivotArea>
    </format>
    <format dxfId="750">
      <pivotArea dataOnly="0" labelOnly="1" outline="0" fieldPosition="0">
        <references count="3">
          <reference field="1" count="1" selected="0">
            <x v="3"/>
          </reference>
          <reference field="4" count="1" selected="0">
            <x v="17"/>
          </reference>
          <reference field="8" count="1">
            <x v="0"/>
          </reference>
        </references>
      </pivotArea>
    </format>
    <format dxfId="749">
      <pivotArea dataOnly="0" labelOnly="1" outline="0" fieldPosition="0">
        <references count="3">
          <reference field="1" count="1" selected="0">
            <x v="3"/>
          </reference>
          <reference field="4" count="1" selected="0">
            <x v="19"/>
          </reference>
          <reference field="8" count="1">
            <x v="1"/>
          </reference>
        </references>
      </pivotArea>
    </format>
    <format dxfId="748">
      <pivotArea dataOnly="0" labelOnly="1" outline="0" fieldPosition="0">
        <references count="3">
          <reference field="1" count="1" selected="0">
            <x v="3"/>
          </reference>
          <reference field="4" count="1" selected="0">
            <x v="21"/>
          </reference>
          <reference field="8" count="1">
            <x v="15"/>
          </reference>
        </references>
      </pivotArea>
    </format>
    <format dxfId="747">
      <pivotArea dataOnly="0" labelOnly="1" outline="0" fieldPosition="0">
        <references count="3">
          <reference field="1" count="1" selected="0">
            <x v="5"/>
          </reference>
          <reference field="4" count="1" selected="0">
            <x v="29"/>
          </reference>
          <reference field="8" count="1">
            <x v="8"/>
          </reference>
        </references>
      </pivotArea>
    </format>
    <format dxfId="746">
      <pivotArea dataOnly="0" labelOnly="1" outline="0" fieldPosition="0">
        <references count="3">
          <reference field="1" count="1" selected="0">
            <x v="6"/>
          </reference>
          <reference field="4" count="1" selected="0">
            <x v="98"/>
          </reference>
          <reference field="8" count="1">
            <x v="20"/>
          </reference>
        </references>
      </pivotArea>
    </format>
    <format dxfId="745">
      <pivotArea dataOnly="0" labelOnly="1" outline="0" fieldPosition="0">
        <references count="3">
          <reference field="1" count="1" selected="0">
            <x v="6"/>
          </reference>
          <reference field="4" count="1" selected="0">
            <x v="114"/>
          </reference>
          <reference field="8" count="1">
            <x v="8"/>
          </reference>
        </references>
      </pivotArea>
    </format>
    <format dxfId="744">
      <pivotArea dataOnly="0" labelOnly="1" outline="0" fieldPosition="0">
        <references count="3">
          <reference field="1" count="1" selected="0">
            <x v="10"/>
          </reference>
          <reference field="4" count="1" selected="0">
            <x v="41"/>
          </reference>
          <reference field="8" count="1">
            <x v="9"/>
          </reference>
        </references>
      </pivotArea>
    </format>
    <format dxfId="743">
      <pivotArea dataOnly="0" labelOnly="1" outline="0" fieldPosition="0">
        <references count="3">
          <reference field="1" count="1" selected="0">
            <x v="10"/>
          </reference>
          <reference field="4" count="1" selected="0">
            <x v="74"/>
          </reference>
          <reference field="8" count="1">
            <x v="9"/>
          </reference>
        </references>
      </pivotArea>
    </format>
    <format dxfId="742">
      <pivotArea dataOnly="0" labelOnly="1" outline="0" fieldPosition="0">
        <references count="3">
          <reference field="1" count="1" selected="0">
            <x v="10"/>
          </reference>
          <reference field="4" count="1" selected="0">
            <x v="113"/>
          </reference>
          <reference field="8" count="1">
            <x v="10"/>
          </reference>
        </references>
      </pivotArea>
    </format>
    <format dxfId="741">
      <pivotArea dataOnly="0" labelOnly="1" outline="0" fieldPosition="0">
        <references count="3">
          <reference field="1" count="1" selected="0">
            <x v="10"/>
          </reference>
          <reference field="4" count="1" selected="0">
            <x v="123"/>
          </reference>
          <reference field="8" count="1">
            <x v="9"/>
          </reference>
        </references>
      </pivotArea>
    </format>
    <format dxfId="740">
      <pivotArea dataOnly="0" labelOnly="1" outline="0" axis="axisValues" fieldPosition="0"/>
    </format>
    <format dxfId="739">
      <pivotArea field="1" type="button" dataOnly="0" labelOnly="1" outline="0" axis="axisRow" fieldPosition="0"/>
    </format>
    <format dxfId="738">
      <pivotArea field="4" type="button" dataOnly="0" labelOnly="1" outline="0" axis="axisRow" fieldPosition="4"/>
    </format>
    <format dxfId="737">
      <pivotArea field="8" type="button" dataOnly="0" labelOnly="1" outline="0" axis="axisRow" fieldPosition="5"/>
    </format>
    <format dxfId="736">
      <pivotArea field="1" type="button" dataOnly="0" labelOnly="1" outline="0" axis="axisRow" fieldPosition="0"/>
    </format>
    <format dxfId="735">
      <pivotArea field="4" type="button" dataOnly="0" labelOnly="1" outline="0" axis="axisRow" fieldPosition="4"/>
    </format>
    <format dxfId="734">
      <pivotArea field="8" type="button" dataOnly="0" labelOnly="1" outline="0" axis="axisRow" fieldPosition="5"/>
    </format>
    <format dxfId="733">
      <pivotArea field="1" type="button" dataOnly="0" labelOnly="1" outline="0" axis="axisRow" fieldPosition="0"/>
    </format>
    <format dxfId="732">
      <pivotArea field="4" type="button" dataOnly="0" labelOnly="1" outline="0" axis="axisRow" fieldPosition="4"/>
    </format>
    <format dxfId="731">
      <pivotArea field="8" type="button" dataOnly="0" labelOnly="1" outline="0" axis="axisRow" fieldPosition="5"/>
    </format>
    <format dxfId="730">
      <pivotArea dataOnly="0" labelOnly="1" outline="0" fieldPosition="0">
        <references count="1">
          <reference field="1" count="0"/>
        </references>
      </pivotArea>
    </format>
    <format dxfId="729">
      <pivotArea dataOnly="0" labelOnly="1" outline="0" fieldPosition="0">
        <references count="1">
          <reference field="1" count="0"/>
        </references>
      </pivotArea>
    </format>
    <format dxfId="728">
      <pivotArea dataOnly="0" labelOnly="1" outline="0" fieldPosition="0">
        <references count="1">
          <reference field="1" count="0"/>
        </references>
      </pivotArea>
    </format>
    <format dxfId="727">
      <pivotArea dataOnly="0" labelOnly="1" outline="0" fieldPosition="0">
        <references count="1">
          <reference field="4" count="0"/>
        </references>
      </pivotArea>
    </format>
    <format dxfId="726">
      <pivotArea field="1" type="button" dataOnly="0" labelOnly="1" outline="0" axis="axisRow" fieldPosition="0"/>
    </format>
    <format dxfId="725">
      <pivotArea field="2" type="button" dataOnly="0" labelOnly="1" outline="0" axis="axisRow" fieldPosition="2"/>
    </format>
    <format dxfId="724">
      <pivotArea field="3" type="button" dataOnly="0" labelOnly="1" outline="0" axis="axisRow" fieldPosition="3"/>
    </format>
    <format dxfId="723">
      <pivotArea field="4" type="button" dataOnly="0" labelOnly="1" outline="0" axis="axisRow" fieldPosition="4"/>
    </format>
    <format dxfId="722">
      <pivotArea field="0" type="button" dataOnly="0" labelOnly="1" outline="0" axis="axisRow" fieldPosition="1"/>
    </format>
    <format dxfId="721">
      <pivotArea field="8" type="button" dataOnly="0" labelOnly="1" outline="0" axis="axisRow" fieldPosition="5"/>
    </format>
    <format dxfId="720">
      <pivotArea dataOnly="0" labelOnly="1" outline="0" fieldPosition="0">
        <references count="1">
          <reference field="1" count="8">
            <x v="0"/>
            <x v="1"/>
            <x v="2"/>
            <x v="3"/>
            <x v="4"/>
            <x v="5"/>
            <x v="6"/>
            <x v="8"/>
          </reference>
        </references>
      </pivotArea>
    </format>
    <format dxfId="719">
      <pivotArea dataOnly="0" labelOnly="1" outline="0" offset="IV1:IV5" fieldPosition="0">
        <references count="1">
          <reference field="1" count="1">
            <x v="10"/>
          </reference>
        </references>
      </pivotArea>
    </format>
    <format dxfId="718">
      <pivotArea dataOnly="0" labelOnly="1" outline="0" axis="axisValues" fieldPosition="0"/>
    </format>
    <format dxfId="717">
      <pivotArea type="all" dataOnly="0" outline="0" fieldPosition="0"/>
    </format>
    <format dxfId="716">
      <pivotArea outline="0" collapsedLevelsAreSubtotals="1" fieldPosition="0"/>
    </format>
    <format dxfId="715">
      <pivotArea field="1" type="button" dataOnly="0" labelOnly="1" outline="0" axis="axisRow" fieldPosition="0"/>
    </format>
    <format dxfId="714">
      <pivotArea field="2" type="button" dataOnly="0" labelOnly="1" outline="0" axis="axisRow" fieldPosition="2"/>
    </format>
    <format dxfId="713">
      <pivotArea field="3" type="button" dataOnly="0" labelOnly="1" outline="0" axis="axisRow" fieldPosition="3"/>
    </format>
    <format dxfId="712">
      <pivotArea field="4" type="button" dataOnly="0" labelOnly="1" outline="0" axis="axisRow" fieldPosition="4"/>
    </format>
    <format dxfId="711">
      <pivotArea field="0" type="button" dataOnly="0" labelOnly="1" outline="0" axis="axisRow" fieldPosition="1"/>
    </format>
    <format dxfId="710">
      <pivotArea field="8" type="button" dataOnly="0" labelOnly="1" outline="0" axis="axisRow" fieldPosition="5"/>
    </format>
    <format dxfId="709">
      <pivotArea dataOnly="0" labelOnly="1" outline="0" fieldPosition="0">
        <references count="1">
          <reference field="1" count="9">
            <x v="0"/>
            <x v="1"/>
            <x v="2"/>
            <x v="3"/>
            <x v="4"/>
            <x v="5"/>
            <x v="6"/>
            <x v="8"/>
            <x v="10"/>
          </reference>
        </references>
      </pivotArea>
    </format>
    <format dxfId="708">
      <pivotArea dataOnly="0" labelOnly="1" grandRow="1" outline="0" fieldPosition="0"/>
    </format>
    <format dxfId="707">
      <pivotArea dataOnly="0" labelOnly="1" outline="0" axis="axisValues" fieldPosition="0"/>
    </format>
    <format dxfId="706">
      <pivotArea type="all" dataOnly="0" outline="0" fieldPosition="0"/>
    </format>
    <format dxfId="705">
      <pivotArea outline="0" collapsedLevelsAreSubtotals="1" fieldPosition="0"/>
    </format>
    <format dxfId="704">
      <pivotArea field="1" type="button" dataOnly="0" labelOnly="1" outline="0" axis="axisRow" fieldPosition="0"/>
    </format>
    <format dxfId="703">
      <pivotArea field="2" type="button" dataOnly="0" labelOnly="1" outline="0" axis="axisRow" fieldPosition="2"/>
    </format>
    <format dxfId="702">
      <pivotArea field="3" type="button" dataOnly="0" labelOnly="1" outline="0" axis="axisRow" fieldPosition="3"/>
    </format>
    <format dxfId="701">
      <pivotArea field="4" type="button" dataOnly="0" labelOnly="1" outline="0" axis="axisRow" fieldPosition="4"/>
    </format>
    <format dxfId="700">
      <pivotArea field="0" type="button" dataOnly="0" labelOnly="1" outline="0" axis="axisRow" fieldPosition="1"/>
    </format>
    <format dxfId="699">
      <pivotArea field="8" type="button" dataOnly="0" labelOnly="1" outline="0" axis="axisRow" fieldPosition="5"/>
    </format>
    <format dxfId="698">
      <pivotArea dataOnly="0" labelOnly="1" outline="0" fieldPosition="0">
        <references count="1">
          <reference field="1" count="9">
            <x v="0"/>
            <x v="1"/>
            <x v="2"/>
            <x v="3"/>
            <x v="4"/>
            <x v="5"/>
            <x v="6"/>
            <x v="8"/>
            <x v="10"/>
          </reference>
        </references>
      </pivotArea>
    </format>
    <format dxfId="697">
      <pivotArea dataOnly="0" labelOnly="1" grandRow="1" outline="0" fieldPosition="0"/>
    </format>
    <format dxfId="696">
      <pivotArea dataOnly="0" labelOnly="1" outline="0" axis="axisValues" fieldPosition="0"/>
    </format>
    <format dxfId="695">
      <pivotArea type="all" dataOnly="0" outline="0" fieldPosition="0"/>
    </format>
    <format dxfId="694">
      <pivotArea outline="0" collapsedLevelsAreSubtotals="1" fieldPosition="0"/>
    </format>
    <format dxfId="693">
      <pivotArea field="1" type="button" dataOnly="0" labelOnly="1" outline="0" axis="axisRow" fieldPosition="0"/>
    </format>
    <format dxfId="692">
      <pivotArea field="2" type="button" dataOnly="0" labelOnly="1" outline="0" axis="axisRow" fieldPosition="2"/>
    </format>
    <format dxfId="691">
      <pivotArea field="3" type="button" dataOnly="0" labelOnly="1" outline="0" axis="axisRow" fieldPosition="3"/>
    </format>
    <format dxfId="690">
      <pivotArea field="4" type="button" dataOnly="0" labelOnly="1" outline="0" axis="axisRow" fieldPosition="4"/>
    </format>
    <format dxfId="689">
      <pivotArea field="8" type="button" dataOnly="0" labelOnly="1" outline="0" axis="axisRow" fieldPosition="5"/>
    </format>
    <format dxfId="688">
      <pivotArea dataOnly="0" labelOnly="1" outline="0" fieldPosition="0">
        <references count="1">
          <reference field="1" count="9">
            <x v="1"/>
            <x v="2"/>
            <x v="3"/>
            <x v="4"/>
            <x v="5"/>
            <x v="6"/>
            <x v="7"/>
            <x v="9"/>
            <x v="10"/>
          </reference>
        </references>
      </pivotArea>
    </format>
    <format dxfId="687">
      <pivotArea dataOnly="0" labelOnly="1" grandRow="1" outline="0" fieldPosition="0"/>
    </format>
    <format dxfId="686">
      <pivotArea dataOnly="0" labelOnly="1" outline="0" axis="axisValues" fieldPosition="0"/>
    </format>
    <format dxfId="685">
      <pivotArea outline="0" collapsedLevelsAreSubtotals="1" fieldPosition="0"/>
    </format>
    <format dxfId="684">
      <pivotArea field="2" type="button" dataOnly="0" labelOnly="1" outline="0" axis="axisRow" fieldPosition="2"/>
    </format>
    <format dxfId="683">
      <pivotArea field="3" type="button" dataOnly="0" labelOnly="1" outline="0" axis="axisRow" fieldPosition="3"/>
    </format>
    <format dxfId="682">
      <pivotArea field="4" type="button" dataOnly="0" labelOnly="1" outline="0" axis="axisRow" fieldPosition="4"/>
    </format>
    <format dxfId="681">
      <pivotArea field="8" type="button" dataOnly="0" labelOnly="1" outline="0" axis="axisRow" fieldPosition="5"/>
    </format>
    <format dxfId="680">
      <pivotArea field="9" type="button" dataOnly="0" labelOnly="1" outline="0" axis="axisRow" fieldPosition="6"/>
    </format>
    <format dxfId="679">
      <pivotArea field="11" type="button" dataOnly="0" labelOnly="1" outline="0"/>
    </format>
    <format dxfId="678">
      <pivotArea dataOnly="0" labelOnly="1" grandRow="1" outline="0" offset="B256:IV256" fieldPosition="0"/>
    </format>
    <format dxfId="677">
      <pivotArea dataOnly="0" labelOnly="1" outline="0" axis="axisValues" fieldPosition="0"/>
    </format>
    <format dxfId="676">
      <pivotArea dataOnly="0" labelOnly="1" outline="0" fieldPosition="0">
        <references count="1">
          <reference field="12" count="0"/>
        </references>
      </pivotArea>
    </format>
    <format dxfId="675">
      <pivotArea dataOnly="0" labelOnly="1" outline="0" fieldPosition="0">
        <references count="1">
          <reference field="12" count="0"/>
        </references>
      </pivotArea>
    </format>
    <format dxfId="674">
      <pivotArea dataOnly="0" labelOnly="1" outline="0" fieldPosition="0">
        <references count="1">
          <reference field="12" count="0"/>
        </references>
      </pivotArea>
    </format>
    <format dxfId="673">
      <pivotArea dataOnly="0" labelOnly="1" outline="0" fieldPosition="0">
        <references count="1">
          <reference field="1" count="9">
            <x v="1"/>
            <x v="2"/>
            <x v="3"/>
            <x v="4"/>
            <x v="5"/>
            <x v="6"/>
            <x v="7"/>
            <x v="9"/>
            <x v="10"/>
          </reference>
        </references>
      </pivotArea>
    </format>
    <format dxfId="672">
      <pivotArea field="1" type="button" dataOnly="0" labelOnly="1" outline="0" axis="axisRow" fieldPosition="0"/>
    </format>
    <format dxfId="671">
      <pivotArea field="2" type="button" dataOnly="0" labelOnly="1" outline="0" axis="axisRow" fieldPosition="2"/>
    </format>
    <format dxfId="670">
      <pivotArea field="3" type="button" dataOnly="0" labelOnly="1" outline="0" axis="axisRow" fieldPosition="3"/>
    </format>
    <format dxfId="669">
      <pivotArea field="9" type="button" dataOnly="0" labelOnly="1" outline="0" axis="axisRow" fieldPosition="6"/>
    </format>
    <format dxfId="668">
      <pivotArea dataOnly="0" labelOnly="1" outline="0" fieldPosition="0">
        <references count="1">
          <reference field="1" count="6">
            <x v="2"/>
            <x v="3"/>
            <x v="4"/>
            <x v="7"/>
            <x v="9"/>
            <x v="10"/>
          </reference>
        </references>
      </pivotArea>
    </format>
    <format dxfId="667">
      <pivotArea dataOnly="0" labelOnly="1" outline="0" fieldPosition="0">
        <references count="2">
          <reference field="1" count="1" selected="0">
            <x v="2"/>
          </reference>
          <reference field="2" count="1">
            <x v="9"/>
          </reference>
        </references>
      </pivotArea>
    </format>
    <format dxfId="666">
      <pivotArea dataOnly="0" labelOnly="1" outline="0" fieldPosition="0">
        <references count="2">
          <reference field="1" count="1" selected="0">
            <x v="3"/>
          </reference>
          <reference field="2" count="3">
            <x v="5"/>
            <x v="7"/>
            <x v="13"/>
          </reference>
        </references>
      </pivotArea>
    </format>
    <format dxfId="665">
      <pivotArea dataOnly="0" labelOnly="1" outline="0" fieldPosition="0">
        <references count="2">
          <reference field="1" count="1" selected="0">
            <x v="4"/>
          </reference>
          <reference field="2" count="1">
            <x v="14"/>
          </reference>
        </references>
      </pivotArea>
    </format>
    <format dxfId="664">
      <pivotArea dataOnly="0" labelOnly="1" outline="0" fieldPosition="0">
        <references count="2">
          <reference field="1" count="1" selected="0">
            <x v="7"/>
          </reference>
          <reference field="2" count="1">
            <x v="11"/>
          </reference>
        </references>
      </pivotArea>
    </format>
    <format dxfId="663">
      <pivotArea dataOnly="0" labelOnly="1" outline="0" fieldPosition="0">
        <references count="2">
          <reference field="1" count="1" selected="0">
            <x v="9"/>
          </reference>
          <reference field="2" count="1">
            <x v="12"/>
          </reference>
        </references>
      </pivotArea>
    </format>
    <format dxfId="662">
      <pivotArea dataOnly="0" labelOnly="1" outline="0" fieldPosition="0">
        <references count="2">
          <reference field="1" count="1" selected="0">
            <x v="10"/>
          </reference>
          <reference field="2" count="1">
            <x v="17"/>
          </reference>
        </references>
      </pivotArea>
    </format>
    <format dxfId="661">
      <pivotArea dataOnly="0" labelOnly="1" outline="0" fieldPosition="0">
        <references count="2">
          <reference field="4294967294" count="1">
            <x v="0"/>
          </reference>
          <reference field="14" count="1" selected="0">
            <x v="0"/>
          </reference>
        </references>
      </pivotArea>
    </format>
    <format dxfId="660">
      <pivotArea dataOnly="0" labelOnly="1" outline="0" fieldPosition="0">
        <references count="3">
          <reference field="1" count="1" selected="0">
            <x v="2"/>
          </reference>
          <reference field="2" count="1" selected="0">
            <x v="9"/>
          </reference>
          <reference field="4" count="1">
            <x v="36"/>
          </reference>
        </references>
      </pivotArea>
    </format>
    <format dxfId="659">
      <pivotArea dataOnly="0" labelOnly="1" outline="0" fieldPosition="0">
        <references count="3">
          <reference field="1" count="1" selected="0">
            <x v="3"/>
          </reference>
          <reference field="2" count="1" selected="0">
            <x v="5"/>
          </reference>
          <reference field="4" count="9">
            <x v="10"/>
            <x v="17"/>
            <x v="19"/>
            <x v="21"/>
            <x v="23"/>
            <x v="45"/>
            <x v="48"/>
            <x v="50"/>
            <x v="51"/>
          </reference>
        </references>
      </pivotArea>
    </format>
    <format dxfId="658">
      <pivotArea dataOnly="0" labelOnly="1" outline="0" fieldPosition="0">
        <references count="3">
          <reference field="1" count="1" selected="0">
            <x v="3"/>
          </reference>
          <reference field="2" count="1" selected="0">
            <x v="7"/>
          </reference>
          <reference field="4" count="1">
            <x v="53"/>
          </reference>
        </references>
      </pivotArea>
    </format>
    <format dxfId="657">
      <pivotArea dataOnly="0" labelOnly="1" outline="0" fieldPosition="0">
        <references count="3">
          <reference field="1" count="1" selected="0">
            <x v="3"/>
          </reference>
          <reference field="2" count="1" selected="0">
            <x v="13"/>
          </reference>
          <reference field="4" count="1">
            <x v="55"/>
          </reference>
        </references>
      </pivotArea>
    </format>
    <format dxfId="656">
      <pivotArea dataOnly="0" labelOnly="1" outline="0" fieldPosition="0">
        <references count="3">
          <reference field="1" count="1" selected="0">
            <x v="4"/>
          </reference>
          <reference field="2" count="1" selected="0">
            <x v="14"/>
          </reference>
          <reference field="4" count="1">
            <x v="32"/>
          </reference>
        </references>
      </pivotArea>
    </format>
    <format dxfId="655">
      <pivotArea dataOnly="0" labelOnly="1" outline="0" fieldPosition="0">
        <references count="3">
          <reference field="1" count="1" selected="0">
            <x v="7"/>
          </reference>
          <reference field="2" count="1" selected="0">
            <x v="11"/>
          </reference>
          <reference field="4" count="3">
            <x v="95"/>
            <x v="122"/>
            <x v="132"/>
          </reference>
        </references>
      </pivotArea>
    </format>
    <format dxfId="654">
      <pivotArea dataOnly="0" labelOnly="1" outline="0" fieldPosition="0">
        <references count="3">
          <reference field="1" count="1" selected="0">
            <x v="9"/>
          </reference>
          <reference field="2" count="1" selected="0">
            <x v="12"/>
          </reference>
          <reference field="4" count="1">
            <x v="103"/>
          </reference>
        </references>
      </pivotArea>
    </format>
    <format dxfId="653">
      <pivotArea dataOnly="0" labelOnly="1" outline="0" fieldPosition="0">
        <references count="3">
          <reference field="1" count="1" selected="0">
            <x v="10"/>
          </reference>
          <reference field="2" count="1" selected="0">
            <x v="17"/>
          </reference>
          <reference field="4" count="1">
            <x v="41"/>
          </reference>
        </references>
      </pivotArea>
    </format>
    <format dxfId="652">
      <pivotArea dataOnly="0" labelOnly="1" outline="0" fieldPosition="0">
        <references count="1">
          <reference field="9" count="0"/>
        </references>
      </pivotArea>
    </format>
    <format dxfId="651">
      <pivotArea dataOnly="0" labelOnly="1" outline="0" fieldPosition="0">
        <references count="1">
          <reference field="9" count="0"/>
        </references>
      </pivotArea>
    </format>
    <format dxfId="650">
      <pivotArea dataOnly="0" labelOnly="1" outline="0" fieldPosition="0">
        <references count="1">
          <reference field="2" count="0"/>
        </references>
      </pivotArea>
    </format>
    <format dxfId="649">
      <pivotArea dataOnly="0" labelOnly="1" outline="0" fieldPosition="0">
        <references count="1">
          <reference field="2" count="0"/>
        </references>
      </pivotArea>
    </format>
    <format dxfId="648">
      <pivotArea outline="0" fieldPosition="0">
        <references count="4">
          <reference field="1" count="5" selected="0">
            <x v="3"/>
            <x v="4"/>
            <x v="7"/>
            <x v="9"/>
            <x v="10"/>
          </reference>
          <reference field="2" count="7" selected="0">
            <x v="5"/>
            <x v="7"/>
            <x v="11"/>
            <x v="12"/>
            <x v="13"/>
            <x v="14"/>
            <x v="17"/>
          </reference>
          <reference field="4" count="17" selected="0">
            <x v="10"/>
            <x v="17"/>
            <x v="19"/>
            <x v="21"/>
            <x v="23"/>
            <x v="32"/>
            <x v="41"/>
            <x v="45"/>
            <x v="48"/>
            <x v="50"/>
            <x v="51"/>
            <x v="53"/>
            <x v="55"/>
            <x v="95"/>
            <x v="103"/>
            <x v="122"/>
            <x v="132"/>
          </reference>
          <reference field="9" count="16" selected="0">
            <x v="9"/>
            <x v="10"/>
            <x v="11"/>
            <x v="12"/>
            <x v="13"/>
            <x v="15"/>
            <x v="16"/>
            <x v="20"/>
            <x v="37"/>
            <x v="41"/>
            <x v="46"/>
            <x v="49"/>
            <x v="50"/>
            <x v="52"/>
            <x v="56"/>
            <x v="57"/>
          </reference>
        </references>
      </pivotArea>
    </format>
    <format dxfId="647">
      <pivotArea grandRow="1" outline="0" collapsedLevelsAreSubtotals="1" fieldPosition="0"/>
    </format>
    <format dxfId="646">
      <pivotArea dataOnly="0" labelOnly="1" outline="0" fieldPosition="0">
        <references count="1">
          <reference field="1" count="5">
            <x v="3"/>
            <x v="4"/>
            <x v="7"/>
            <x v="9"/>
            <x v="10"/>
          </reference>
        </references>
      </pivotArea>
    </format>
    <format dxfId="645">
      <pivotArea dataOnly="0" labelOnly="1" grandRow="1" outline="0" fieldPosition="0"/>
    </format>
    <format dxfId="644">
      <pivotArea dataOnly="0" labelOnly="1" outline="0" fieldPosition="0">
        <references count="2">
          <reference field="1" count="1" selected="0">
            <x v="3"/>
          </reference>
          <reference field="2" count="3">
            <x v="5"/>
            <x v="7"/>
            <x v="13"/>
          </reference>
        </references>
      </pivotArea>
    </format>
    <format dxfId="643">
      <pivotArea dataOnly="0" labelOnly="1" outline="0" fieldPosition="0">
        <references count="2">
          <reference field="1" count="1" selected="0">
            <x v="4"/>
          </reference>
          <reference field="2" count="1">
            <x v="14"/>
          </reference>
        </references>
      </pivotArea>
    </format>
    <format dxfId="642">
      <pivotArea dataOnly="0" labelOnly="1" outline="0" fieldPosition="0">
        <references count="2">
          <reference field="1" count="1" selected="0">
            <x v="7"/>
          </reference>
          <reference field="2" count="1">
            <x v="11"/>
          </reference>
        </references>
      </pivotArea>
    </format>
    <format dxfId="641">
      <pivotArea dataOnly="0" labelOnly="1" outline="0" fieldPosition="0">
        <references count="2">
          <reference field="1" count="1" selected="0">
            <x v="9"/>
          </reference>
          <reference field="2" count="1">
            <x v="12"/>
          </reference>
        </references>
      </pivotArea>
    </format>
    <format dxfId="640">
      <pivotArea dataOnly="0" labelOnly="1" outline="0" fieldPosition="0">
        <references count="2">
          <reference field="1" count="1" selected="0">
            <x v="10"/>
          </reference>
          <reference field="2" count="1">
            <x v="17"/>
          </reference>
        </references>
      </pivotArea>
    </format>
    <format dxfId="639">
      <pivotArea dataOnly="0" labelOnly="1" outline="0" fieldPosition="0">
        <references count="3">
          <reference field="1" count="1" selected="0">
            <x v="3"/>
          </reference>
          <reference field="2" count="1" selected="0">
            <x v="5"/>
          </reference>
          <reference field="4" count="9">
            <x v="10"/>
            <x v="17"/>
            <x v="19"/>
            <x v="21"/>
            <x v="23"/>
            <x v="45"/>
            <x v="48"/>
            <x v="50"/>
            <x v="51"/>
          </reference>
        </references>
      </pivotArea>
    </format>
    <format dxfId="638">
      <pivotArea dataOnly="0" labelOnly="1" outline="0" fieldPosition="0">
        <references count="3">
          <reference field="1" count="1" selected="0">
            <x v="3"/>
          </reference>
          <reference field="2" count="1" selected="0">
            <x v="7"/>
          </reference>
          <reference field="4" count="1">
            <x v="53"/>
          </reference>
        </references>
      </pivotArea>
    </format>
    <format dxfId="637">
      <pivotArea dataOnly="0" labelOnly="1" outline="0" fieldPosition="0">
        <references count="3">
          <reference field="1" count="1" selected="0">
            <x v="3"/>
          </reference>
          <reference field="2" count="1" selected="0">
            <x v="13"/>
          </reference>
          <reference field="4" count="1">
            <x v="55"/>
          </reference>
        </references>
      </pivotArea>
    </format>
    <format dxfId="636">
      <pivotArea dataOnly="0" labelOnly="1" outline="0" fieldPosition="0">
        <references count="3">
          <reference field="1" count="1" selected="0">
            <x v="4"/>
          </reference>
          <reference field="2" count="1" selected="0">
            <x v="14"/>
          </reference>
          <reference field="4" count="1">
            <x v="32"/>
          </reference>
        </references>
      </pivotArea>
    </format>
    <format dxfId="635">
      <pivotArea dataOnly="0" labelOnly="1" outline="0" fieldPosition="0">
        <references count="3">
          <reference field="1" count="1" selected="0">
            <x v="7"/>
          </reference>
          <reference field="2" count="1" selected="0">
            <x v="11"/>
          </reference>
          <reference field="4" count="3">
            <x v="95"/>
            <x v="122"/>
            <x v="132"/>
          </reference>
        </references>
      </pivotArea>
    </format>
    <format dxfId="634">
      <pivotArea dataOnly="0" labelOnly="1" outline="0" fieldPosition="0">
        <references count="3">
          <reference field="1" count="1" selected="0">
            <x v="9"/>
          </reference>
          <reference field="2" count="1" selected="0">
            <x v="12"/>
          </reference>
          <reference field="4" count="1">
            <x v="103"/>
          </reference>
        </references>
      </pivotArea>
    </format>
    <format dxfId="633">
      <pivotArea dataOnly="0" labelOnly="1" outline="0" fieldPosition="0">
        <references count="3">
          <reference field="1" count="1" selected="0">
            <x v="10"/>
          </reference>
          <reference field="2" count="1" selected="0">
            <x v="17"/>
          </reference>
          <reference field="4" count="1">
            <x v="41"/>
          </reference>
        </references>
      </pivotArea>
    </format>
    <format dxfId="632">
      <pivotArea dataOnly="0" labelOnly="1" outline="0" fieldPosition="0">
        <references count="4">
          <reference field="1" count="1" selected="0">
            <x v="3"/>
          </reference>
          <reference field="2" count="1" selected="0">
            <x v="5"/>
          </reference>
          <reference field="4" count="1" selected="0">
            <x v="10"/>
          </reference>
          <reference field="9" count="1">
            <x v="9"/>
          </reference>
        </references>
      </pivotArea>
    </format>
    <format dxfId="631">
      <pivotArea dataOnly="0" labelOnly="1" outline="0" fieldPosition="0">
        <references count="4">
          <reference field="1" count="1" selected="0">
            <x v="3"/>
          </reference>
          <reference field="2" count="1" selected="0">
            <x v="5"/>
          </reference>
          <reference field="4" count="1" selected="0">
            <x v="17"/>
          </reference>
          <reference field="9" count="1">
            <x v="20"/>
          </reference>
        </references>
      </pivotArea>
    </format>
    <format dxfId="630">
      <pivotArea dataOnly="0" labelOnly="1" outline="0" fieldPosition="0">
        <references count="4">
          <reference field="1" count="1" selected="0">
            <x v="3"/>
          </reference>
          <reference field="2" count="1" selected="0">
            <x v="5"/>
          </reference>
          <reference field="4" count="1" selected="0">
            <x v="19"/>
          </reference>
          <reference field="9" count="1">
            <x v="10"/>
          </reference>
        </references>
      </pivotArea>
    </format>
    <format dxfId="629">
      <pivotArea dataOnly="0" labelOnly="1" outline="0" fieldPosition="0">
        <references count="4">
          <reference field="1" count="1" selected="0">
            <x v="3"/>
          </reference>
          <reference field="2" count="1" selected="0">
            <x v="5"/>
          </reference>
          <reference field="4" count="1" selected="0">
            <x v="21"/>
          </reference>
          <reference field="9" count="1">
            <x v="12"/>
          </reference>
        </references>
      </pivotArea>
    </format>
    <format dxfId="628">
      <pivotArea dataOnly="0" labelOnly="1" outline="0" fieldPosition="0">
        <references count="4">
          <reference field="1" count="1" selected="0">
            <x v="3"/>
          </reference>
          <reference field="2" count="1" selected="0">
            <x v="5"/>
          </reference>
          <reference field="4" count="1" selected="0">
            <x v="23"/>
          </reference>
          <reference field="9" count="1">
            <x v="13"/>
          </reference>
        </references>
      </pivotArea>
    </format>
    <format dxfId="627">
      <pivotArea dataOnly="0" labelOnly="1" outline="0" fieldPosition="0">
        <references count="4">
          <reference field="1" count="1" selected="0">
            <x v="3"/>
          </reference>
          <reference field="2" count="1" selected="0">
            <x v="5"/>
          </reference>
          <reference field="4" count="1" selected="0">
            <x v="45"/>
          </reference>
          <reference field="9" count="1">
            <x v="46"/>
          </reference>
        </references>
      </pivotArea>
    </format>
    <format dxfId="626">
      <pivotArea dataOnly="0" labelOnly="1" outline="0" fieldPosition="0">
        <references count="4">
          <reference field="1" count="1" selected="0">
            <x v="3"/>
          </reference>
          <reference field="2" count="1" selected="0">
            <x v="5"/>
          </reference>
          <reference field="4" count="1" selected="0">
            <x v="48"/>
          </reference>
          <reference field="9" count="1">
            <x v="52"/>
          </reference>
        </references>
      </pivotArea>
    </format>
    <format dxfId="625">
      <pivotArea dataOnly="0" labelOnly="1" outline="0" fieldPosition="0">
        <references count="4">
          <reference field="1" count="1" selected="0">
            <x v="3"/>
          </reference>
          <reference field="2" count="1" selected="0">
            <x v="5"/>
          </reference>
          <reference field="4" count="1" selected="0">
            <x v="50"/>
          </reference>
          <reference field="9" count="1">
            <x v="15"/>
          </reference>
        </references>
      </pivotArea>
    </format>
    <format dxfId="624">
      <pivotArea dataOnly="0" labelOnly="1" outline="0" fieldPosition="0">
        <references count="4">
          <reference field="1" count="1" selected="0">
            <x v="3"/>
          </reference>
          <reference field="2" count="1" selected="0">
            <x v="5"/>
          </reference>
          <reference field="4" count="1" selected="0">
            <x v="51"/>
          </reference>
          <reference field="9" count="1">
            <x v="16"/>
          </reference>
        </references>
      </pivotArea>
    </format>
    <format dxfId="623">
      <pivotArea dataOnly="0" labelOnly="1" outline="0" fieldPosition="0">
        <references count="4">
          <reference field="1" count="1" selected="0">
            <x v="3"/>
          </reference>
          <reference field="2" count="1" selected="0">
            <x v="7"/>
          </reference>
          <reference field="4" count="1" selected="0">
            <x v="53"/>
          </reference>
          <reference field="9" count="1">
            <x v="49"/>
          </reference>
        </references>
      </pivotArea>
    </format>
    <format dxfId="622">
      <pivotArea dataOnly="0" labelOnly="1" outline="0" fieldPosition="0">
        <references count="4">
          <reference field="1" count="1" selected="0">
            <x v="3"/>
          </reference>
          <reference field="2" count="1" selected="0">
            <x v="13"/>
          </reference>
          <reference field="4" count="1" selected="0">
            <x v="55"/>
          </reference>
          <reference field="9" count="1">
            <x v="11"/>
          </reference>
        </references>
      </pivotArea>
    </format>
    <format dxfId="621">
      <pivotArea dataOnly="0" labelOnly="1" outline="0" fieldPosition="0">
        <references count="4">
          <reference field="1" count="1" selected="0">
            <x v="4"/>
          </reference>
          <reference field="2" count="1" selected="0">
            <x v="14"/>
          </reference>
          <reference field="4" count="1" selected="0">
            <x v="32"/>
          </reference>
          <reference field="9" count="1">
            <x v="41"/>
          </reference>
        </references>
      </pivotArea>
    </format>
    <format dxfId="620">
      <pivotArea dataOnly="0" labelOnly="1" outline="0" fieldPosition="0">
        <references count="4">
          <reference field="1" count="1" selected="0">
            <x v="7"/>
          </reference>
          <reference field="2" count="1" selected="0">
            <x v="11"/>
          </reference>
          <reference field="4" count="1" selected="0">
            <x v="95"/>
          </reference>
          <reference field="9" count="1">
            <x v="56"/>
          </reference>
        </references>
      </pivotArea>
    </format>
    <format dxfId="619">
      <pivotArea dataOnly="0" labelOnly="1" outline="0" fieldPosition="0">
        <references count="4">
          <reference field="1" count="1" selected="0">
            <x v="7"/>
          </reference>
          <reference field="2" count="1" selected="0">
            <x v="11"/>
          </reference>
          <reference field="4" count="1" selected="0">
            <x v="122"/>
          </reference>
          <reference field="9" count="1">
            <x v="56"/>
          </reference>
        </references>
      </pivotArea>
    </format>
    <format dxfId="618">
      <pivotArea dataOnly="0" labelOnly="1" outline="0" fieldPosition="0">
        <references count="4">
          <reference field="1" count="1" selected="0">
            <x v="7"/>
          </reference>
          <reference field="2" count="1" selected="0">
            <x v="11"/>
          </reference>
          <reference field="4" count="1" selected="0">
            <x v="132"/>
          </reference>
          <reference field="9" count="1">
            <x v="57"/>
          </reference>
        </references>
      </pivotArea>
    </format>
    <format dxfId="617">
      <pivotArea dataOnly="0" labelOnly="1" outline="0" fieldPosition="0">
        <references count="4">
          <reference field="1" count="1" selected="0">
            <x v="9"/>
          </reference>
          <reference field="2" count="1" selected="0">
            <x v="12"/>
          </reference>
          <reference field="4" count="1" selected="0">
            <x v="103"/>
          </reference>
          <reference field="9" count="1">
            <x v="37"/>
          </reference>
        </references>
      </pivotArea>
    </format>
    <format dxfId="616">
      <pivotArea dataOnly="0" labelOnly="1" outline="0" fieldPosition="0">
        <references count="4">
          <reference field="1" count="1" selected="0">
            <x v="10"/>
          </reference>
          <reference field="2" count="1" selected="0">
            <x v="17"/>
          </reference>
          <reference field="4" count="1" selected="0">
            <x v="41"/>
          </reference>
          <reference field="9" count="1">
            <x v="50"/>
          </reference>
        </references>
      </pivotArea>
    </format>
    <format dxfId="615">
      <pivotArea field="1" type="button" dataOnly="0" labelOnly="1" outline="0" axis="axisRow" fieldPosition="0"/>
    </format>
    <format dxfId="614">
      <pivotArea field="2" type="button" dataOnly="0" labelOnly="1" outline="0" axis="axisRow" fieldPosition="2"/>
    </format>
    <format dxfId="613">
      <pivotArea field="4" type="button" dataOnly="0" labelOnly="1" outline="0" axis="axisRow" fieldPosition="4"/>
    </format>
    <format dxfId="612">
      <pivotArea field="9" type="button" dataOnly="0" labelOnly="1" outline="0" axis="axisRow" fieldPosition="6"/>
    </format>
    <format dxfId="611">
      <pivotArea dataOnly="0" labelOnly="1" outline="0" fieldPosition="0">
        <references count="1">
          <reference field="14" count="1">
            <x v="0"/>
          </reference>
        </references>
      </pivotArea>
    </format>
    <format dxfId="610">
      <pivotArea dataOnly="0" labelOnly="1" grandCol="1" outline="0" fieldPosition="0"/>
    </format>
    <format dxfId="609">
      <pivotArea field="1" type="button" dataOnly="0" labelOnly="1" outline="0" axis="axisRow" fieldPosition="0"/>
    </format>
    <format dxfId="608">
      <pivotArea field="2" type="button" dataOnly="0" labelOnly="1" outline="0" axis="axisRow" fieldPosition="2"/>
    </format>
    <format dxfId="607">
      <pivotArea field="4" type="button" dataOnly="0" labelOnly="1" outline="0" axis="axisRow" fieldPosition="4"/>
    </format>
    <format dxfId="606">
      <pivotArea field="9" type="button" dataOnly="0" labelOnly="1" outline="0" axis="axisRow" fieldPosition="6"/>
    </format>
    <format dxfId="605">
      <pivotArea dataOnly="0" labelOnly="1" outline="0" fieldPosition="0">
        <references count="1">
          <reference field="14" count="1">
            <x v="0"/>
          </reference>
        </references>
      </pivotArea>
    </format>
    <format dxfId="604">
      <pivotArea dataOnly="0" labelOnly="1" grandCol="1" outline="0" fieldPosition="0"/>
    </format>
    <format dxfId="603">
      <pivotArea field="1" type="button" dataOnly="0" labelOnly="1" outline="0" axis="axisRow" fieldPosition="0"/>
    </format>
    <format dxfId="602">
      <pivotArea field="2" type="button" dataOnly="0" labelOnly="1" outline="0" axis="axisRow" fieldPosition="2"/>
    </format>
    <format dxfId="601">
      <pivotArea field="4" type="button" dataOnly="0" labelOnly="1" outline="0" axis="axisRow" fieldPosition="4"/>
    </format>
    <format dxfId="600">
      <pivotArea field="9" type="button" dataOnly="0" labelOnly="1" outline="0" axis="axisRow" fieldPosition="6"/>
    </format>
    <format dxfId="599">
      <pivotArea dataOnly="0" labelOnly="1" outline="0" fieldPosition="0">
        <references count="1">
          <reference field="14" count="1">
            <x v="0"/>
          </reference>
        </references>
      </pivotArea>
    </format>
    <format dxfId="598">
      <pivotArea dataOnly="0" labelOnly="1" grandCol="1" outline="0" fieldPosition="0"/>
    </format>
    <format dxfId="597">
      <pivotArea outline="0" fieldPosition="0">
        <references count="5">
          <reference field="1" count="1" selected="0">
            <x v="7"/>
          </reference>
          <reference field="2" count="1" selected="0">
            <x v="11"/>
          </reference>
          <reference field="4" count="1" selected="0">
            <x v="95"/>
          </reference>
          <reference field="9" count="1" selected="0">
            <x v="56"/>
          </reference>
          <reference field="14" count="1" selected="0">
            <x v="0"/>
          </reference>
        </references>
      </pivotArea>
    </format>
    <format dxfId="596">
      <pivotArea dataOnly="0" labelOnly="1" outline="0" fieldPosition="0">
        <references count="4">
          <reference field="1" count="1" selected="0">
            <x v="7"/>
          </reference>
          <reference field="2" count="1" selected="0">
            <x v="11"/>
          </reference>
          <reference field="4" count="1" selected="0">
            <x v="95"/>
          </reference>
          <reference field="9" count="1">
            <x v="56"/>
          </reference>
        </references>
      </pivotArea>
    </format>
    <format dxfId="595">
      <pivotArea outline="0" fieldPosition="0">
        <references count="5">
          <reference field="1" count="1" selected="0">
            <x v="2"/>
          </reference>
          <reference field="2" count="1" selected="0">
            <x v="9"/>
          </reference>
          <reference field="4" count="1" selected="0">
            <x v="36"/>
          </reference>
          <reference field="9" count="1" selected="0">
            <x v="0"/>
          </reference>
          <reference field="14" count="1" selected="0">
            <x v="0"/>
          </reference>
        </references>
      </pivotArea>
    </format>
    <format dxfId="594">
      <pivotArea dataOnly="0" labelOnly="1" outline="0" fieldPosition="0">
        <references count="4">
          <reference field="1" count="1" selected="0">
            <x v="2"/>
          </reference>
          <reference field="2" count="1" selected="0">
            <x v="9"/>
          </reference>
          <reference field="4" count="1" selected="0">
            <x v="36"/>
          </reference>
          <reference field="9" count="1">
            <x v="0"/>
          </reference>
        </references>
      </pivotArea>
    </format>
    <format dxfId="593">
      <pivotArea outline="0" fieldPosition="0">
        <references count="5">
          <reference field="1" count="1" selected="0">
            <x v="7"/>
          </reference>
          <reference field="2" count="1" selected="0">
            <x v="11"/>
          </reference>
          <reference field="4" count="1" selected="0">
            <x v="30"/>
          </reference>
          <reference field="9" count="1" selected="0">
            <x v="30"/>
          </reference>
          <reference field="14" count="2" selected="0">
            <x v="0"/>
            <x v="1"/>
          </reference>
        </references>
      </pivotArea>
    </format>
    <format dxfId="592">
      <pivotArea dataOnly="0" labelOnly="1" outline="0" fieldPosition="0">
        <references count="4">
          <reference field="1" count="1" selected="0">
            <x v="7"/>
          </reference>
          <reference field="2" count="1" selected="0">
            <x v="11"/>
          </reference>
          <reference field="4" count="1" selected="0">
            <x v="30"/>
          </reference>
          <reference field="9" count="1">
            <x v="30"/>
          </reference>
        </references>
      </pivotArea>
    </format>
    <format dxfId="591">
      <pivotArea outline="0" fieldPosition="0">
        <references count="5">
          <reference field="1" count="1" selected="0">
            <x v="4"/>
          </reference>
          <reference field="2" count="1" selected="0">
            <x v="14"/>
          </reference>
          <reference field="4" count="1" selected="0">
            <x v="32"/>
          </reference>
          <reference field="9" count="1" selected="0">
            <x v="41"/>
          </reference>
          <reference field="14" count="1" selected="0">
            <x v="0"/>
          </reference>
        </references>
      </pivotArea>
    </format>
    <format dxfId="590">
      <pivotArea dataOnly="0" labelOnly="1" outline="0" fieldPosition="0">
        <references count="4">
          <reference field="1" count="1" selected="0">
            <x v="4"/>
          </reference>
          <reference field="2" count="1" selected="0">
            <x v="14"/>
          </reference>
          <reference field="4" count="1" selected="0">
            <x v="32"/>
          </reference>
          <reference field="9" count="1">
            <x v="41"/>
          </reference>
        </references>
      </pivotArea>
    </format>
    <format dxfId="589">
      <pivotArea outline="0" fieldPosition="0">
        <references count="5">
          <reference field="1" count="1" selected="0">
            <x v="9"/>
          </reference>
          <reference field="2" count="1" selected="0">
            <x v="12"/>
          </reference>
          <reference field="4" count="1" selected="0">
            <x v="34"/>
          </reference>
          <reference field="9" count="1" selected="0">
            <x v="4"/>
          </reference>
          <reference field="14" count="5" selected="0">
            <x v="0"/>
            <x v="1"/>
            <x v="2"/>
            <x v="3"/>
            <x v="4"/>
          </reference>
        </references>
      </pivotArea>
    </format>
    <format dxfId="588">
      <pivotArea dataOnly="0" labelOnly="1" outline="0" fieldPosition="0">
        <references count="4">
          <reference field="1" count="1" selected="0">
            <x v="9"/>
          </reference>
          <reference field="2" count="1" selected="0">
            <x v="12"/>
          </reference>
          <reference field="4" count="1" selected="0">
            <x v="34"/>
          </reference>
          <reference field="9" count="1">
            <x v="4"/>
          </reference>
        </references>
      </pivotArea>
    </format>
    <format dxfId="587">
      <pivotArea outline="0" fieldPosition="0">
        <references count="5">
          <reference field="1" count="1" selected="0">
            <x v="9"/>
          </reference>
          <reference field="2" count="1" selected="0">
            <x v="12"/>
          </reference>
          <reference field="4" count="1" selected="0">
            <x v="34"/>
          </reference>
          <reference field="9" count="1" selected="0">
            <x v="30"/>
          </reference>
          <reference field="14" count="1" selected="0">
            <x v="0"/>
          </reference>
        </references>
      </pivotArea>
    </format>
    <format dxfId="586">
      <pivotArea dataOnly="0" labelOnly="1" outline="0" fieldPosition="0">
        <references count="4">
          <reference field="1" count="1" selected="0">
            <x v="9"/>
          </reference>
          <reference field="2" count="1" selected="0">
            <x v="12"/>
          </reference>
          <reference field="4" count="1" selected="0">
            <x v="34"/>
          </reference>
          <reference field="9" count="1">
            <x v="30"/>
          </reference>
        </references>
      </pivotArea>
    </format>
    <format dxfId="585">
      <pivotArea dataOnly="0" labelOnly="1" outline="0" fieldPosition="0">
        <references count="1">
          <reference field="14" count="4">
            <x v="0"/>
            <x v="1"/>
            <x v="2"/>
            <x v="3"/>
          </reference>
        </references>
      </pivotArea>
    </format>
    <format dxfId="584">
      <pivotArea dataOnly="0" labelOnly="1" grandCol="1" outline="0" fieldPosition="0"/>
    </format>
    <format dxfId="583">
      <pivotArea dataOnly="0" outline="0" fieldPosition="0">
        <references count="1">
          <reference field="14" count="4">
            <x v="0"/>
            <x v="1"/>
            <x v="2"/>
            <x v="3"/>
          </reference>
        </references>
      </pivotArea>
    </format>
    <format dxfId="582">
      <pivotArea dataOnly="0" outline="0" fieldPosition="0">
        <references count="1">
          <reference field="14" count="4">
            <x v="0"/>
            <x v="1"/>
            <x v="2"/>
            <x v="3"/>
          </reference>
        </references>
      </pivotArea>
    </format>
    <format dxfId="581">
      <pivotArea dataOnly="0" labelOnly="1" outline="0" fieldPosition="0">
        <references count="5">
          <reference field="1" count="1" selected="0">
            <x v="2"/>
          </reference>
          <reference field="2" count="1" selected="0">
            <x v="9"/>
          </reference>
          <reference field="3" count="1" selected="0">
            <x v="21"/>
          </reference>
          <reference field="4" count="1" selected="0">
            <x v="36"/>
          </reference>
          <reference field="8" count="1">
            <x v="15"/>
          </reference>
        </references>
      </pivotArea>
    </format>
    <format dxfId="580">
      <pivotArea dataOnly="0" labelOnly="1" outline="0" fieldPosition="0">
        <references count="5">
          <reference field="1" count="1" selected="0">
            <x v="2"/>
          </reference>
          <reference field="2" count="1" selected="0">
            <x v="9"/>
          </reference>
          <reference field="3" count="1" selected="0">
            <x v="21"/>
          </reference>
          <reference field="4" count="1" selected="0">
            <x v="62"/>
          </reference>
          <reference field="8" count="1">
            <x v="2"/>
          </reference>
        </references>
      </pivotArea>
    </format>
    <format dxfId="579">
      <pivotArea dataOnly="0" labelOnly="1" outline="0" fieldPosition="0">
        <references count="5">
          <reference field="1" count="1" selected="0">
            <x v="3"/>
          </reference>
          <reference field="2" count="1" selected="0">
            <x v="5"/>
          </reference>
          <reference field="3" count="1" selected="0">
            <x v="8"/>
          </reference>
          <reference field="4" count="1" selected="0">
            <x v="6"/>
          </reference>
          <reference field="8" count="1">
            <x v="15"/>
          </reference>
        </references>
      </pivotArea>
    </format>
    <format dxfId="578">
      <pivotArea dataOnly="0" labelOnly="1" outline="0" fieldPosition="0">
        <references count="5">
          <reference field="1" count="1" selected="0">
            <x v="3"/>
          </reference>
          <reference field="2" count="1" selected="0">
            <x v="5"/>
          </reference>
          <reference field="3" count="1" selected="0">
            <x v="8"/>
          </reference>
          <reference field="4" count="1" selected="0">
            <x v="8"/>
          </reference>
          <reference field="8" count="1">
            <x v="2"/>
          </reference>
        </references>
      </pivotArea>
    </format>
    <format dxfId="577">
      <pivotArea dataOnly="0" labelOnly="1" outline="0" fieldPosition="0">
        <references count="5">
          <reference field="1" count="1" selected="0">
            <x v="3"/>
          </reference>
          <reference field="2" count="1" selected="0">
            <x v="5"/>
          </reference>
          <reference field="3" count="1" selected="0">
            <x v="8"/>
          </reference>
          <reference field="4" count="1" selected="0">
            <x v="10"/>
          </reference>
          <reference field="8" count="1">
            <x v="13"/>
          </reference>
        </references>
      </pivotArea>
    </format>
    <format dxfId="576">
      <pivotArea dataOnly="0" labelOnly="1" outline="0" fieldPosition="0">
        <references count="5">
          <reference field="1" count="1" selected="0">
            <x v="3"/>
          </reference>
          <reference field="2" count="1" selected="0">
            <x v="5"/>
          </reference>
          <reference field="3" count="1" selected="0">
            <x v="8"/>
          </reference>
          <reference field="4" count="1" selected="0">
            <x v="17"/>
          </reference>
          <reference field="8" count="1">
            <x v="0"/>
          </reference>
        </references>
      </pivotArea>
    </format>
    <format dxfId="575">
      <pivotArea dataOnly="0" labelOnly="1" outline="0" fieldPosition="0">
        <references count="5">
          <reference field="1" count="1" selected="0">
            <x v="3"/>
          </reference>
          <reference field="2" count="1" selected="0">
            <x v="5"/>
          </reference>
          <reference field="3" count="1" selected="0">
            <x v="8"/>
          </reference>
          <reference field="4" count="1" selected="0">
            <x v="19"/>
          </reference>
          <reference field="8" count="1">
            <x v="1"/>
          </reference>
        </references>
      </pivotArea>
    </format>
    <format dxfId="574">
      <pivotArea dataOnly="0" labelOnly="1" outline="0" fieldPosition="0">
        <references count="5">
          <reference field="1" count="1" selected="0">
            <x v="3"/>
          </reference>
          <reference field="2" count="1" selected="0">
            <x v="5"/>
          </reference>
          <reference field="3" count="1" selected="0">
            <x v="8"/>
          </reference>
          <reference field="4" count="1" selected="0">
            <x v="21"/>
          </reference>
          <reference field="8" count="1">
            <x v="15"/>
          </reference>
        </references>
      </pivotArea>
    </format>
    <format dxfId="573">
      <pivotArea dataOnly="0" labelOnly="1" outline="0" fieldPosition="0">
        <references count="5">
          <reference field="1" count="1" selected="0">
            <x v="3"/>
          </reference>
          <reference field="2" count="1" selected="0">
            <x v="5"/>
          </reference>
          <reference field="3" count="1" selected="0">
            <x v="8"/>
          </reference>
          <reference field="4" count="1" selected="0">
            <x v="45"/>
          </reference>
          <reference field="8" count="1">
            <x v="2"/>
          </reference>
        </references>
      </pivotArea>
    </format>
    <format dxfId="572">
      <pivotArea dataOnly="0" labelOnly="1" outline="0" fieldPosition="0">
        <references count="5">
          <reference field="1" count="1" selected="0">
            <x v="3"/>
          </reference>
          <reference field="2" count="1" selected="0">
            <x v="5"/>
          </reference>
          <reference field="3" count="1" selected="0">
            <x v="8"/>
          </reference>
          <reference field="4" count="1" selected="0">
            <x v="47"/>
          </reference>
          <reference field="8" count="1">
            <x v="25"/>
          </reference>
        </references>
      </pivotArea>
    </format>
    <format dxfId="571">
      <pivotArea dataOnly="0" labelOnly="1" outline="0" fieldPosition="0">
        <references count="5">
          <reference field="1" count="1" selected="0">
            <x v="3"/>
          </reference>
          <reference field="2" count="1" selected="0">
            <x v="5"/>
          </reference>
          <reference field="3" count="1" selected="0">
            <x v="8"/>
          </reference>
          <reference field="4" count="1" selected="0">
            <x v="50"/>
          </reference>
          <reference field="8" count="1">
            <x v="1"/>
          </reference>
        </references>
      </pivotArea>
    </format>
    <format dxfId="570">
      <pivotArea dataOnly="0" labelOnly="1" outline="0" fieldPosition="0">
        <references count="5">
          <reference field="1" count="1" selected="0">
            <x v="3"/>
          </reference>
          <reference field="2" count="1" selected="0">
            <x v="5"/>
          </reference>
          <reference field="3" count="1" selected="0">
            <x v="8"/>
          </reference>
          <reference field="4" count="1" selected="0">
            <x v="51"/>
          </reference>
          <reference field="8" count="1">
            <x v="12"/>
          </reference>
        </references>
      </pivotArea>
    </format>
    <format dxfId="569">
      <pivotArea dataOnly="0" labelOnly="1" outline="0" fieldPosition="0">
        <references count="5">
          <reference field="1" count="1" selected="0">
            <x v="3"/>
          </reference>
          <reference field="2" count="1" selected="0">
            <x v="7"/>
          </reference>
          <reference field="3" count="1" selected="0">
            <x v="10"/>
          </reference>
          <reference field="4" count="1" selected="0">
            <x v="52"/>
          </reference>
          <reference field="8" count="1">
            <x v="25"/>
          </reference>
        </references>
      </pivotArea>
    </format>
    <format dxfId="568">
      <pivotArea dataOnly="0" labelOnly="1" outline="0" fieldPosition="0">
        <references count="5">
          <reference field="1" count="1" selected="0">
            <x v="3"/>
          </reference>
          <reference field="2" count="1" selected="0">
            <x v="7"/>
          </reference>
          <reference field="3" count="1" selected="0">
            <x v="10"/>
          </reference>
          <reference field="4" count="1" selected="0">
            <x v="53"/>
          </reference>
          <reference field="8" count="1">
            <x v="17"/>
          </reference>
        </references>
      </pivotArea>
    </format>
    <format dxfId="567">
      <pivotArea dataOnly="0" labelOnly="1" outline="0" fieldPosition="0">
        <references count="5">
          <reference field="1" count="1" selected="0">
            <x v="3"/>
          </reference>
          <reference field="2" count="1" selected="0">
            <x v="13"/>
          </reference>
          <reference field="3" count="1" selected="0">
            <x v="17"/>
          </reference>
          <reference field="4" count="1" selected="0">
            <x v="55"/>
          </reference>
          <reference field="8" count="1">
            <x v="5"/>
          </reference>
        </references>
      </pivotArea>
    </format>
    <format dxfId="566">
      <pivotArea dataOnly="0" labelOnly="1" outline="0" fieldPosition="0">
        <references count="5">
          <reference field="1" count="1" selected="0">
            <x v="4"/>
          </reference>
          <reference field="2" count="1" selected="0">
            <x v="14"/>
          </reference>
          <reference field="3" count="1" selected="0">
            <x v="4"/>
          </reference>
          <reference field="4" count="1" selected="0">
            <x v="32"/>
          </reference>
          <reference field="8" count="1">
            <x v="15"/>
          </reference>
        </references>
      </pivotArea>
    </format>
    <format dxfId="565">
      <pivotArea dataOnly="0" labelOnly="1" outline="0" fieldPosition="0">
        <references count="5">
          <reference field="1" count="1" selected="0">
            <x v="4"/>
          </reference>
          <reference field="2" count="1" selected="0">
            <x v="14"/>
          </reference>
          <reference field="3" count="1" selected="0">
            <x v="4"/>
          </reference>
          <reference field="4" count="1" selected="0">
            <x v="58"/>
          </reference>
          <reference field="8" count="1">
            <x v="2"/>
          </reference>
        </references>
      </pivotArea>
    </format>
    <format dxfId="564">
      <pivotArea dataOnly="0" labelOnly="1" outline="0" fieldPosition="0">
        <references count="5">
          <reference field="1" count="1" selected="0">
            <x v="5"/>
          </reference>
          <reference field="2" count="1" selected="0">
            <x v="10"/>
          </reference>
          <reference field="3" count="1" selected="0">
            <x v="9"/>
          </reference>
          <reference field="4" count="1" selected="0">
            <x v="26"/>
          </reference>
          <reference field="8" count="1">
            <x v="8"/>
          </reference>
        </references>
      </pivotArea>
    </format>
    <format dxfId="563">
      <pivotArea dataOnly="0" labelOnly="1" outline="0" fieldPosition="0">
        <references count="5">
          <reference field="1" count="1" selected="0">
            <x v="5"/>
          </reference>
          <reference field="2" count="1" selected="0">
            <x v="10"/>
          </reference>
          <reference field="3" count="1" selected="0">
            <x v="9"/>
          </reference>
          <reference field="4" count="1" selected="0">
            <x v="90"/>
          </reference>
          <reference field="8" count="1">
            <x v="31"/>
          </reference>
        </references>
      </pivotArea>
    </format>
    <format dxfId="562">
      <pivotArea dataOnly="0" labelOnly="1" outline="0" fieldPosition="0">
        <references count="5">
          <reference field="1" count="1" selected="0">
            <x v="5"/>
          </reference>
          <reference field="2" count="1" selected="0">
            <x v="10"/>
          </reference>
          <reference field="3" count="1" selected="0">
            <x v="9"/>
          </reference>
          <reference field="4" count="1" selected="0">
            <x v="102"/>
          </reference>
          <reference field="8" count="1">
            <x v="30"/>
          </reference>
        </references>
      </pivotArea>
    </format>
    <format dxfId="561">
      <pivotArea dataOnly="0" labelOnly="1" outline="0" fieldPosition="0">
        <references count="5">
          <reference field="1" count="1" selected="0">
            <x v="7"/>
          </reference>
          <reference field="2" count="1" selected="0">
            <x v="11"/>
          </reference>
          <reference field="3" count="1" selected="0">
            <x v="22"/>
          </reference>
          <reference field="4" count="1" selected="0">
            <x v="30"/>
          </reference>
          <reference field="8" count="1">
            <x v="15"/>
          </reference>
        </references>
      </pivotArea>
    </format>
    <format dxfId="560">
      <pivotArea dataOnly="0" labelOnly="1" outline="0" fieldPosition="0">
        <references count="5">
          <reference field="1" count="1" selected="0">
            <x v="7"/>
          </reference>
          <reference field="2" count="1" selected="0">
            <x v="11"/>
          </reference>
          <reference field="3" count="1" selected="0">
            <x v="22"/>
          </reference>
          <reference field="4" count="1" selected="0">
            <x v="73"/>
          </reference>
          <reference field="8" count="1">
            <x v="2"/>
          </reference>
        </references>
      </pivotArea>
    </format>
    <format dxfId="559">
      <pivotArea dataOnly="0" labelOnly="1" outline="0" fieldPosition="0">
        <references count="5">
          <reference field="1" count="1" selected="0">
            <x v="7"/>
          </reference>
          <reference field="2" count="1" selected="0">
            <x v="11"/>
          </reference>
          <reference field="3" count="1" selected="0">
            <x v="22"/>
          </reference>
          <reference field="4" count="1" selected="0">
            <x v="95"/>
          </reference>
          <reference field="8" count="1">
            <x v="15"/>
          </reference>
        </references>
      </pivotArea>
    </format>
    <format dxfId="558">
      <pivotArea dataOnly="0" labelOnly="1" outline="0" fieldPosition="0">
        <references count="5">
          <reference field="1" count="1" selected="0">
            <x v="7"/>
          </reference>
          <reference field="2" count="1" selected="0">
            <x v="11"/>
          </reference>
          <reference field="3" count="1" selected="0">
            <x v="22"/>
          </reference>
          <reference field="4" count="1" selected="0">
            <x v="122"/>
          </reference>
          <reference field="8" count="1">
            <x v="32"/>
          </reference>
        </references>
      </pivotArea>
    </format>
    <format dxfId="557">
      <pivotArea dataOnly="0" labelOnly="1" outline="0" fieldPosition="0">
        <references count="5">
          <reference field="1" count="1" selected="0">
            <x v="7"/>
          </reference>
          <reference field="2" count="1" selected="0">
            <x v="11"/>
          </reference>
          <reference field="3" count="1" selected="0">
            <x v="22"/>
          </reference>
          <reference field="4" count="1" selected="0">
            <x v="132"/>
          </reference>
          <reference field="8" count="1">
            <x v="30"/>
          </reference>
        </references>
      </pivotArea>
    </format>
    <format dxfId="556">
      <pivotArea dataOnly="0" labelOnly="1" outline="0" fieldPosition="0">
        <references count="5">
          <reference field="1" count="1" selected="0">
            <x v="7"/>
          </reference>
          <reference field="2" count="1" selected="0">
            <x v="11"/>
          </reference>
          <reference field="3" count="1" selected="0">
            <x v="22"/>
          </reference>
          <reference field="4" count="1" selected="0">
            <x v="146"/>
          </reference>
          <reference field="8" count="1">
            <x v="1"/>
          </reference>
        </references>
      </pivotArea>
    </format>
    <format dxfId="555">
      <pivotArea dataOnly="0" labelOnly="1" outline="0" fieldPosition="0">
        <references count="5">
          <reference field="1" count="1" selected="0">
            <x v="7"/>
          </reference>
          <reference field="2" count="1" selected="0">
            <x v="11"/>
          </reference>
          <reference field="3" count="1" selected="0">
            <x v="22"/>
          </reference>
          <reference field="4" count="1" selected="0">
            <x v="154"/>
          </reference>
          <reference field="8" count="1">
            <x v="33"/>
          </reference>
        </references>
      </pivotArea>
    </format>
    <format dxfId="554">
      <pivotArea dataOnly="0" labelOnly="1" outline="0" fieldPosition="0">
        <references count="5">
          <reference field="1" count="1" selected="0">
            <x v="9"/>
          </reference>
          <reference field="2" count="1" selected="0">
            <x v="12"/>
          </reference>
          <reference field="3" count="1" selected="0">
            <x v="2"/>
          </reference>
          <reference field="4" count="1" selected="0">
            <x v="34"/>
          </reference>
          <reference field="8" count="1">
            <x v="15"/>
          </reference>
        </references>
      </pivotArea>
    </format>
    <format dxfId="553">
      <pivotArea dataOnly="0" labelOnly="1" outline="0" fieldPosition="0">
        <references count="5">
          <reference field="1" count="1" selected="0">
            <x v="9"/>
          </reference>
          <reference field="2" count="1" selected="0">
            <x v="12"/>
          </reference>
          <reference field="3" count="1" selected="0">
            <x v="2"/>
          </reference>
          <reference field="4" count="1" selected="0">
            <x v="93"/>
          </reference>
          <reference field="8" count="1">
            <x v="2"/>
          </reference>
        </references>
      </pivotArea>
    </format>
    <format dxfId="552">
      <pivotArea dataOnly="0" labelOnly="1" outline="0" fieldPosition="0">
        <references count="5">
          <reference field="1" count="1" selected="0">
            <x v="10"/>
          </reference>
          <reference field="2" count="1" selected="0">
            <x v="17"/>
          </reference>
          <reference field="3" count="1" selected="0">
            <x v="7"/>
          </reference>
          <reference field="4" count="1" selected="0">
            <x v="41"/>
          </reference>
          <reference field="8" count="1">
            <x v="9"/>
          </reference>
        </references>
      </pivotArea>
    </format>
    <format dxfId="551">
      <pivotArea dataOnly="0" labelOnly="1" outline="0" fieldPosition="0">
        <references count="5">
          <reference field="1" count="1" selected="0">
            <x v="10"/>
          </reference>
          <reference field="2" count="1" selected="0">
            <x v="17"/>
          </reference>
          <reference field="3" count="1" selected="0">
            <x v="7"/>
          </reference>
          <reference field="4" count="1" selected="0">
            <x v="96"/>
          </reference>
          <reference field="8" count="1">
            <x v="34"/>
          </reference>
        </references>
      </pivotArea>
    </format>
    <format dxfId="550">
      <pivotArea dataOnly="0" labelOnly="1" outline="0" fieldPosition="0">
        <references count="5">
          <reference field="1" count="1" selected="0">
            <x v="10"/>
          </reference>
          <reference field="2" count="1" selected="0">
            <x v="17"/>
          </reference>
          <reference field="3" count="1" selected="0">
            <x v="7"/>
          </reference>
          <reference field="4" count="1" selected="0">
            <x v="123"/>
          </reference>
          <reference field="8" count="1">
            <x v="9"/>
          </reference>
        </references>
      </pivotArea>
    </format>
    <format dxfId="549">
      <pivotArea dataOnly="0" labelOnly="1" outline="0" fieldPosition="0">
        <references count="5">
          <reference field="1" count="1" selected="0">
            <x v="10"/>
          </reference>
          <reference field="2" count="1" selected="0">
            <x v="17"/>
          </reference>
          <reference field="3" count="1" selected="0">
            <x v="7"/>
          </reference>
          <reference field="4" count="1" selected="0">
            <x v="135"/>
          </reference>
          <reference field="8" count="1">
            <x v="10"/>
          </reference>
        </references>
      </pivotArea>
    </format>
    <format dxfId="548">
      <pivotArea outline="0" fieldPosition="0">
        <references count="7">
          <reference field="1" count="1" selected="0">
            <x v="4"/>
          </reference>
          <reference field="2" count="1" selected="0">
            <x v="14"/>
          </reference>
          <reference field="3" count="1" selected="0">
            <x v="4"/>
          </reference>
          <reference field="4" count="1" selected="0">
            <x v="32"/>
          </reference>
          <reference field="8" count="1" selected="0">
            <x v="15"/>
          </reference>
          <reference field="9" count="1" selected="0">
            <x v="41"/>
          </reference>
          <reference field="14" count="1" selected="0">
            <x v="0"/>
          </reference>
        </references>
      </pivotArea>
    </format>
    <format dxfId="547">
      <pivotArea field="1" type="button" dataOnly="0" labelOnly="1" outline="0" axis="axisRow" fieldPosition="0"/>
    </format>
    <format dxfId="546">
      <pivotArea field="2" type="button" dataOnly="0" labelOnly="1" outline="0" axis="axisRow" fieldPosition="2"/>
    </format>
    <format dxfId="545">
      <pivotArea field="3" type="button" dataOnly="0" labelOnly="1" outline="0" axis="axisRow" fieldPosition="3"/>
    </format>
    <format dxfId="544">
      <pivotArea field="4" type="button" dataOnly="0" labelOnly="1" outline="0" axis="axisRow" fieldPosition="4"/>
    </format>
    <format dxfId="543">
      <pivotArea field="8" type="button" dataOnly="0" labelOnly="1" outline="0" axis="axisRow" fieldPosition="5"/>
    </format>
    <format dxfId="542">
      <pivotArea field="9" type="button" dataOnly="0" labelOnly="1" outline="0" axis="axisRow" fieldPosition="6"/>
    </format>
    <format dxfId="541">
      <pivotArea dataOnly="0" labelOnly="1" outline="0" fieldPosition="0">
        <references count="1">
          <reference field="14" count="4">
            <x v="0"/>
            <x v="1"/>
            <x v="2"/>
            <x v="3"/>
          </reference>
        </references>
      </pivotArea>
    </format>
    <format dxfId="540">
      <pivotArea dataOnly="0" labelOnly="1" grandCol="1" outline="0" fieldPosition="0"/>
    </format>
    <format dxfId="539">
      <pivotArea outline="0" collapsedLevelsAreSubtotals="1" fieldPosition="0"/>
    </format>
    <format dxfId="538">
      <pivotArea field="1" type="button" dataOnly="0" labelOnly="1" outline="0" axis="axisRow" fieldPosition="0"/>
    </format>
    <format dxfId="537">
      <pivotArea field="2" type="button" dataOnly="0" labelOnly="1" outline="0" axis="axisRow" fieldPosition="2"/>
    </format>
    <format dxfId="536">
      <pivotArea field="3" type="button" dataOnly="0" labelOnly="1" outline="0" axis="axisRow" fieldPosition="3"/>
    </format>
    <format dxfId="535">
      <pivotArea field="4" type="button" dataOnly="0" labelOnly="1" outline="0" axis="axisRow" fieldPosition="4"/>
    </format>
    <format dxfId="534">
      <pivotArea field="8" type="button" dataOnly="0" labelOnly="1" outline="0" axis="axisRow" fieldPosition="5"/>
    </format>
    <format dxfId="533">
      <pivotArea field="9" type="button" dataOnly="0" labelOnly="1" outline="0" axis="axisRow" fieldPosition="6"/>
    </format>
    <format dxfId="532">
      <pivotArea dataOnly="0" labelOnly="1" outline="0" fieldPosition="0">
        <references count="1">
          <reference field="1" count="7">
            <x v="2"/>
            <x v="3"/>
            <x v="4"/>
            <x v="5"/>
            <x v="7"/>
            <x v="9"/>
            <x v="10"/>
          </reference>
        </references>
      </pivotArea>
    </format>
    <format dxfId="531">
      <pivotArea dataOnly="0" labelOnly="1" grandRow="1" outline="0" fieldPosition="0"/>
    </format>
    <format dxfId="530">
      <pivotArea dataOnly="0" labelOnly="1" outline="0" fieldPosition="0">
        <references count="2">
          <reference field="1" count="1" selected="0">
            <x v="2"/>
          </reference>
          <reference field="2" count="1">
            <x v="9"/>
          </reference>
        </references>
      </pivotArea>
    </format>
    <format dxfId="529">
      <pivotArea dataOnly="0" labelOnly="1" outline="0" fieldPosition="0">
        <references count="2">
          <reference field="1" count="1" selected="0">
            <x v="3"/>
          </reference>
          <reference field="2" count="3">
            <x v="5"/>
            <x v="7"/>
            <x v="13"/>
          </reference>
        </references>
      </pivotArea>
    </format>
    <format dxfId="528">
      <pivotArea dataOnly="0" labelOnly="1" outline="0" fieldPosition="0">
        <references count="2">
          <reference field="1" count="1" selected="0">
            <x v="4"/>
          </reference>
          <reference field="2" count="1">
            <x v="14"/>
          </reference>
        </references>
      </pivotArea>
    </format>
    <format dxfId="527">
      <pivotArea dataOnly="0" labelOnly="1" outline="0" fieldPosition="0">
        <references count="2">
          <reference field="1" count="1" selected="0">
            <x v="5"/>
          </reference>
          <reference field="2" count="1">
            <x v="10"/>
          </reference>
        </references>
      </pivotArea>
    </format>
    <format dxfId="526">
      <pivotArea dataOnly="0" labelOnly="1" outline="0" fieldPosition="0">
        <references count="2">
          <reference field="1" count="1" selected="0">
            <x v="7"/>
          </reference>
          <reference field="2" count="1">
            <x v="11"/>
          </reference>
        </references>
      </pivotArea>
    </format>
    <format dxfId="525">
      <pivotArea dataOnly="0" labelOnly="1" outline="0" fieldPosition="0">
        <references count="2">
          <reference field="1" count="1" selected="0">
            <x v="9"/>
          </reference>
          <reference field="2" count="1">
            <x v="12"/>
          </reference>
        </references>
      </pivotArea>
    </format>
    <format dxfId="524">
      <pivotArea dataOnly="0" labelOnly="1" outline="0" fieldPosition="0">
        <references count="2">
          <reference field="1" count="1" selected="0">
            <x v="10"/>
          </reference>
          <reference field="2" count="1">
            <x v="17"/>
          </reference>
        </references>
      </pivotArea>
    </format>
    <format dxfId="523">
      <pivotArea dataOnly="0" labelOnly="1" outline="0" fieldPosition="0">
        <references count="3">
          <reference field="1" count="1" selected="0">
            <x v="2"/>
          </reference>
          <reference field="2" count="1" selected="0">
            <x v="9"/>
          </reference>
          <reference field="3" count="1">
            <x v="21"/>
          </reference>
        </references>
      </pivotArea>
    </format>
    <format dxfId="522">
      <pivotArea dataOnly="0" labelOnly="1" outline="0" fieldPosition="0">
        <references count="3">
          <reference field="1" count="1" selected="0">
            <x v="3"/>
          </reference>
          <reference field="2" count="1" selected="0">
            <x v="5"/>
          </reference>
          <reference field="3" count="1">
            <x v="8"/>
          </reference>
        </references>
      </pivotArea>
    </format>
    <format dxfId="521">
      <pivotArea dataOnly="0" labelOnly="1" outline="0" fieldPosition="0">
        <references count="3">
          <reference field="1" count="1" selected="0">
            <x v="3"/>
          </reference>
          <reference field="2" count="1" selected="0">
            <x v="7"/>
          </reference>
          <reference field="3" count="1">
            <x v="10"/>
          </reference>
        </references>
      </pivotArea>
    </format>
    <format dxfId="520">
      <pivotArea dataOnly="0" labelOnly="1" outline="0" fieldPosition="0">
        <references count="3">
          <reference field="1" count="1" selected="0">
            <x v="3"/>
          </reference>
          <reference field="2" count="1" selected="0">
            <x v="13"/>
          </reference>
          <reference field="3" count="1">
            <x v="17"/>
          </reference>
        </references>
      </pivotArea>
    </format>
    <format dxfId="519">
      <pivotArea dataOnly="0" labelOnly="1" outline="0" fieldPosition="0">
        <references count="3">
          <reference field="1" count="1" selected="0">
            <x v="4"/>
          </reference>
          <reference field="2" count="1" selected="0">
            <x v="14"/>
          </reference>
          <reference field="3" count="1">
            <x v="4"/>
          </reference>
        </references>
      </pivotArea>
    </format>
    <format dxfId="518">
      <pivotArea dataOnly="0" labelOnly="1" outline="0" fieldPosition="0">
        <references count="3">
          <reference field="1" count="1" selected="0">
            <x v="5"/>
          </reference>
          <reference field="2" count="1" selected="0">
            <x v="10"/>
          </reference>
          <reference field="3" count="1">
            <x v="9"/>
          </reference>
        </references>
      </pivotArea>
    </format>
    <format dxfId="517">
      <pivotArea dataOnly="0" labelOnly="1" outline="0" fieldPosition="0">
        <references count="3">
          <reference field="1" count="1" selected="0">
            <x v="7"/>
          </reference>
          <reference field="2" count="1" selected="0">
            <x v="11"/>
          </reference>
          <reference field="3" count="1">
            <x v="22"/>
          </reference>
        </references>
      </pivotArea>
    </format>
    <format dxfId="516">
      <pivotArea dataOnly="0" labelOnly="1" outline="0" fieldPosition="0">
        <references count="3">
          <reference field="1" count="1" selected="0">
            <x v="9"/>
          </reference>
          <reference field="2" count="1" selected="0">
            <x v="12"/>
          </reference>
          <reference field="3" count="1">
            <x v="2"/>
          </reference>
        </references>
      </pivotArea>
    </format>
    <format dxfId="515">
      <pivotArea dataOnly="0" labelOnly="1" outline="0" fieldPosition="0">
        <references count="3">
          <reference field="1" count="1" selected="0">
            <x v="10"/>
          </reference>
          <reference field="2" count="1" selected="0">
            <x v="17"/>
          </reference>
          <reference field="3" count="1">
            <x v="7"/>
          </reference>
        </references>
      </pivotArea>
    </format>
    <format dxfId="514">
      <pivotArea dataOnly="0" labelOnly="1" outline="0" fieldPosition="0">
        <references count="4">
          <reference field="1" count="1" selected="0">
            <x v="2"/>
          </reference>
          <reference field="2" count="1" selected="0">
            <x v="9"/>
          </reference>
          <reference field="3" count="1" selected="0">
            <x v="21"/>
          </reference>
          <reference field="4" count="2">
            <x v="36"/>
            <x v="62"/>
          </reference>
        </references>
      </pivotArea>
    </format>
    <format dxfId="513">
      <pivotArea dataOnly="0" labelOnly="1" outline="0" fieldPosition="0">
        <references count="4">
          <reference field="1" count="1" selected="0">
            <x v="3"/>
          </reference>
          <reference field="2" count="1" selected="0">
            <x v="5"/>
          </reference>
          <reference field="3" count="1" selected="0">
            <x v="8"/>
          </reference>
          <reference field="4" count="12">
            <x v="6"/>
            <x v="8"/>
            <x v="10"/>
            <x v="17"/>
            <x v="19"/>
            <x v="21"/>
            <x v="23"/>
            <x v="45"/>
            <x v="47"/>
            <x v="48"/>
            <x v="50"/>
            <x v="51"/>
          </reference>
        </references>
      </pivotArea>
    </format>
    <format dxfId="512">
      <pivotArea dataOnly="0" labelOnly="1" outline="0" fieldPosition="0">
        <references count="4">
          <reference field="1" count="1" selected="0">
            <x v="3"/>
          </reference>
          <reference field="2" count="1" selected="0">
            <x v="7"/>
          </reference>
          <reference field="3" count="1" selected="0">
            <x v="10"/>
          </reference>
          <reference field="4" count="2">
            <x v="52"/>
            <x v="53"/>
          </reference>
        </references>
      </pivotArea>
    </format>
    <format dxfId="511">
      <pivotArea dataOnly="0" labelOnly="1" outline="0" fieldPosition="0">
        <references count="4">
          <reference field="1" count="1" selected="0">
            <x v="3"/>
          </reference>
          <reference field="2" count="1" selected="0">
            <x v="13"/>
          </reference>
          <reference field="3" count="1" selected="0">
            <x v="17"/>
          </reference>
          <reference field="4" count="1">
            <x v="55"/>
          </reference>
        </references>
      </pivotArea>
    </format>
    <format dxfId="510">
      <pivotArea dataOnly="0" labelOnly="1" outline="0" fieldPosition="0">
        <references count="4">
          <reference field="1" count="1" selected="0">
            <x v="4"/>
          </reference>
          <reference field="2" count="1" selected="0">
            <x v="14"/>
          </reference>
          <reference field="3" count="1" selected="0">
            <x v="4"/>
          </reference>
          <reference field="4" count="2">
            <x v="32"/>
            <x v="58"/>
          </reference>
        </references>
      </pivotArea>
    </format>
    <format dxfId="509">
      <pivotArea dataOnly="0" labelOnly="1" outline="0" fieldPosition="0">
        <references count="4">
          <reference field="1" count="1" selected="0">
            <x v="5"/>
          </reference>
          <reference field="2" count="1" selected="0">
            <x v="10"/>
          </reference>
          <reference field="3" count="1" selected="0">
            <x v="9"/>
          </reference>
          <reference field="4" count="4">
            <x v="26"/>
            <x v="67"/>
            <x v="90"/>
            <x v="102"/>
          </reference>
        </references>
      </pivotArea>
    </format>
    <format dxfId="508">
      <pivotArea dataOnly="0" labelOnly="1" outline="0" fieldPosition="0">
        <references count="4">
          <reference field="1" count="1" selected="0">
            <x v="7"/>
          </reference>
          <reference field="2" count="1" selected="0">
            <x v="11"/>
          </reference>
          <reference field="3" count="1" selected="0">
            <x v="22"/>
          </reference>
          <reference field="4" count="7">
            <x v="30"/>
            <x v="73"/>
            <x v="95"/>
            <x v="122"/>
            <x v="132"/>
            <x v="146"/>
            <x v="154"/>
          </reference>
        </references>
      </pivotArea>
    </format>
    <format dxfId="507">
      <pivotArea dataOnly="0" labelOnly="1" outline="0" fieldPosition="0">
        <references count="4">
          <reference field="1" count="1" selected="0">
            <x v="9"/>
          </reference>
          <reference field="2" count="1" selected="0">
            <x v="12"/>
          </reference>
          <reference field="3" count="1" selected="0">
            <x v="2"/>
          </reference>
          <reference field="4" count="4">
            <x v="34"/>
            <x v="71"/>
            <x v="93"/>
            <x v="103"/>
          </reference>
        </references>
      </pivotArea>
    </format>
    <format dxfId="506">
      <pivotArea dataOnly="0" labelOnly="1" outline="0" fieldPosition="0">
        <references count="4">
          <reference field="1" count="1" selected="0">
            <x v="10"/>
          </reference>
          <reference field="2" count="1" selected="0">
            <x v="17"/>
          </reference>
          <reference field="3" count="1" selected="0">
            <x v="7"/>
          </reference>
          <reference field="4" count="4">
            <x v="41"/>
            <x v="96"/>
            <x v="123"/>
            <x v="135"/>
          </reference>
        </references>
      </pivotArea>
    </format>
    <format dxfId="505">
      <pivotArea dataOnly="0" labelOnly="1" outline="0" fieldPosition="0">
        <references count="5">
          <reference field="1" count="1" selected="0">
            <x v="2"/>
          </reference>
          <reference field="2" count="1" selected="0">
            <x v="9"/>
          </reference>
          <reference field="3" count="1" selected="0">
            <x v="21"/>
          </reference>
          <reference field="4" count="1" selected="0">
            <x v="36"/>
          </reference>
          <reference field="8" count="1">
            <x v="15"/>
          </reference>
        </references>
      </pivotArea>
    </format>
    <format dxfId="504">
      <pivotArea dataOnly="0" labelOnly="1" outline="0" fieldPosition="0">
        <references count="5">
          <reference field="1" count="1" selected="0">
            <x v="2"/>
          </reference>
          <reference field="2" count="1" selected="0">
            <x v="9"/>
          </reference>
          <reference field="3" count="1" selected="0">
            <x v="21"/>
          </reference>
          <reference field="4" count="1" selected="0">
            <x v="62"/>
          </reference>
          <reference field="8" count="1">
            <x v="2"/>
          </reference>
        </references>
      </pivotArea>
    </format>
    <format dxfId="503">
      <pivotArea dataOnly="0" labelOnly="1" outline="0" fieldPosition="0">
        <references count="5">
          <reference field="1" count="1" selected="0">
            <x v="3"/>
          </reference>
          <reference field="2" count="1" selected="0">
            <x v="5"/>
          </reference>
          <reference field="3" count="1" selected="0">
            <x v="8"/>
          </reference>
          <reference field="4" count="1" selected="0">
            <x v="6"/>
          </reference>
          <reference field="8" count="1">
            <x v="15"/>
          </reference>
        </references>
      </pivotArea>
    </format>
    <format dxfId="502">
      <pivotArea dataOnly="0" labelOnly="1" outline="0" fieldPosition="0">
        <references count="5">
          <reference field="1" count="1" selected="0">
            <x v="3"/>
          </reference>
          <reference field="2" count="1" selected="0">
            <x v="5"/>
          </reference>
          <reference field="3" count="1" selected="0">
            <x v="8"/>
          </reference>
          <reference field="4" count="1" selected="0">
            <x v="8"/>
          </reference>
          <reference field="8" count="1">
            <x v="2"/>
          </reference>
        </references>
      </pivotArea>
    </format>
    <format dxfId="501">
      <pivotArea dataOnly="0" labelOnly="1" outline="0" fieldPosition="0">
        <references count="5">
          <reference field="1" count="1" selected="0">
            <x v="3"/>
          </reference>
          <reference field="2" count="1" selected="0">
            <x v="5"/>
          </reference>
          <reference field="3" count="1" selected="0">
            <x v="8"/>
          </reference>
          <reference field="4" count="1" selected="0">
            <x v="10"/>
          </reference>
          <reference field="8" count="1">
            <x v="13"/>
          </reference>
        </references>
      </pivotArea>
    </format>
    <format dxfId="500">
      <pivotArea dataOnly="0" labelOnly="1" outline="0" fieldPosition="0">
        <references count="5">
          <reference field="1" count="1" selected="0">
            <x v="3"/>
          </reference>
          <reference field="2" count="1" selected="0">
            <x v="5"/>
          </reference>
          <reference field="3" count="1" selected="0">
            <x v="8"/>
          </reference>
          <reference field="4" count="1" selected="0">
            <x v="17"/>
          </reference>
          <reference field="8" count="1">
            <x v="0"/>
          </reference>
        </references>
      </pivotArea>
    </format>
    <format dxfId="499">
      <pivotArea dataOnly="0" labelOnly="1" outline="0" fieldPosition="0">
        <references count="5">
          <reference field="1" count="1" selected="0">
            <x v="3"/>
          </reference>
          <reference field="2" count="1" selected="0">
            <x v="5"/>
          </reference>
          <reference field="3" count="1" selected="0">
            <x v="8"/>
          </reference>
          <reference field="4" count="1" selected="0">
            <x v="19"/>
          </reference>
          <reference field="8" count="1">
            <x v="1"/>
          </reference>
        </references>
      </pivotArea>
    </format>
    <format dxfId="498">
      <pivotArea dataOnly="0" labelOnly="1" outline="0" fieldPosition="0">
        <references count="5">
          <reference field="1" count="1" selected="0">
            <x v="3"/>
          </reference>
          <reference field="2" count="1" selected="0">
            <x v="5"/>
          </reference>
          <reference field="3" count="1" selected="0">
            <x v="8"/>
          </reference>
          <reference field="4" count="1" selected="0">
            <x v="21"/>
          </reference>
          <reference field="8" count="1">
            <x v="15"/>
          </reference>
        </references>
      </pivotArea>
    </format>
    <format dxfId="497">
      <pivotArea dataOnly="0" labelOnly="1" outline="0" fieldPosition="0">
        <references count="5">
          <reference field="1" count="1" selected="0">
            <x v="3"/>
          </reference>
          <reference field="2" count="1" selected="0">
            <x v="5"/>
          </reference>
          <reference field="3" count="1" selected="0">
            <x v="8"/>
          </reference>
          <reference field="4" count="1" selected="0">
            <x v="45"/>
          </reference>
          <reference field="8" count="1">
            <x v="2"/>
          </reference>
        </references>
      </pivotArea>
    </format>
    <format dxfId="496">
      <pivotArea dataOnly="0" labelOnly="1" outline="0" fieldPosition="0">
        <references count="5">
          <reference field="1" count="1" selected="0">
            <x v="3"/>
          </reference>
          <reference field="2" count="1" selected="0">
            <x v="5"/>
          </reference>
          <reference field="3" count="1" selected="0">
            <x v="8"/>
          </reference>
          <reference field="4" count="1" selected="0">
            <x v="47"/>
          </reference>
          <reference field="8" count="1">
            <x v="25"/>
          </reference>
        </references>
      </pivotArea>
    </format>
    <format dxfId="495">
      <pivotArea dataOnly="0" labelOnly="1" outline="0" fieldPosition="0">
        <references count="5">
          <reference field="1" count="1" selected="0">
            <x v="3"/>
          </reference>
          <reference field="2" count="1" selected="0">
            <x v="5"/>
          </reference>
          <reference field="3" count="1" selected="0">
            <x v="8"/>
          </reference>
          <reference field="4" count="1" selected="0">
            <x v="50"/>
          </reference>
          <reference field="8" count="1">
            <x v="1"/>
          </reference>
        </references>
      </pivotArea>
    </format>
    <format dxfId="494">
      <pivotArea dataOnly="0" labelOnly="1" outline="0" fieldPosition="0">
        <references count="5">
          <reference field="1" count="1" selected="0">
            <x v="3"/>
          </reference>
          <reference field="2" count="1" selected="0">
            <x v="5"/>
          </reference>
          <reference field="3" count="1" selected="0">
            <x v="8"/>
          </reference>
          <reference field="4" count="1" selected="0">
            <x v="51"/>
          </reference>
          <reference field="8" count="1">
            <x v="12"/>
          </reference>
        </references>
      </pivotArea>
    </format>
    <format dxfId="493">
      <pivotArea dataOnly="0" labelOnly="1" outline="0" fieldPosition="0">
        <references count="5">
          <reference field="1" count="1" selected="0">
            <x v="3"/>
          </reference>
          <reference field="2" count="1" selected="0">
            <x v="7"/>
          </reference>
          <reference field="3" count="1" selected="0">
            <x v="10"/>
          </reference>
          <reference field="4" count="1" selected="0">
            <x v="52"/>
          </reference>
          <reference field="8" count="1">
            <x v="25"/>
          </reference>
        </references>
      </pivotArea>
    </format>
    <format dxfId="492">
      <pivotArea dataOnly="0" labelOnly="1" outline="0" fieldPosition="0">
        <references count="5">
          <reference field="1" count="1" selected="0">
            <x v="3"/>
          </reference>
          <reference field="2" count="1" selected="0">
            <x v="7"/>
          </reference>
          <reference field="3" count="1" selected="0">
            <x v="10"/>
          </reference>
          <reference field="4" count="1" selected="0">
            <x v="53"/>
          </reference>
          <reference field="8" count="1">
            <x v="17"/>
          </reference>
        </references>
      </pivotArea>
    </format>
    <format dxfId="491">
      <pivotArea dataOnly="0" labelOnly="1" outline="0" fieldPosition="0">
        <references count="5">
          <reference field="1" count="1" selected="0">
            <x v="3"/>
          </reference>
          <reference field="2" count="1" selected="0">
            <x v="13"/>
          </reference>
          <reference field="3" count="1" selected="0">
            <x v="17"/>
          </reference>
          <reference field="4" count="1" selected="0">
            <x v="55"/>
          </reference>
          <reference field="8" count="1">
            <x v="5"/>
          </reference>
        </references>
      </pivotArea>
    </format>
    <format dxfId="490">
      <pivotArea dataOnly="0" labelOnly="1" outline="0" fieldPosition="0">
        <references count="5">
          <reference field="1" count="1" selected="0">
            <x v="4"/>
          </reference>
          <reference field="2" count="1" selected="0">
            <x v="14"/>
          </reference>
          <reference field="3" count="1" selected="0">
            <x v="4"/>
          </reference>
          <reference field="4" count="1" selected="0">
            <x v="32"/>
          </reference>
          <reference field="8" count="1">
            <x v="15"/>
          </reference>
        </references>
      </pivotArea>
    </format>
    <format dxfId="489">
      <pivotArea dataOnly="0" labelOnly="1" outline="0" fieldPosition="0">
        <references count="5">
          <reference field="1" count="1" selected="0">
            <x v="4"/>
          </reference>
          <reference field="2" count="1" selected="0">
            <x v="14"/>
          </reference>
          <reference field="3" count="1" selected="0">
            <x v="4"/>
          </reference>
          <reference field="4" count="1" selected="0">
            <x v="58"/>
          </reference>
          <reference field="8" count="1">
            <x v="2"/>
          </reference>
        </references>
      </pivotArea>
    </format>
    <format dxfId="488">
      <pivotArea dataOnly="0" labelOnly="1" outline="0" fieldPosition="0">
        <references count="5">
          <reference field="1" count="1" selected="0">
            <x v="5"/>
          </reference>
          <reference field="2" count="1" selected="0">
            <x v="10"/>
          </reference>
          <reference field="3" count="1" selected="0">
            <x v="9"/>
          </reference>
          <reference field="4" count="1" selected="0">
            <x v="26"/>
          </reference>
          <reference field="8" count="1">
            <x v="8"/>
          </reference>
        </references>
      </pivotArea>
    </format>
    <format dxfId="487">
      <pivotArea dataOnly="0" labelOnly="1" outline="0" fieldPosition="0">
        <references count="5">
          <reference field="1" count="1" selected="0">
            <x v="5"/>
          </reference>
          <reference field="2" count="1" selected="0">
            <x v="10"/>
          </reference>
          <reference field="3" count="1" selected="0">
            <x v="9"/>
          </reference>
          <reference field="4" count="1" selected="0">
            <x v="90"/>
          </reference>
          <reference field="8" count="1">
            <x v="31"/>
          </reference>
        </references>
      </pivotArea>
    </format>
    <format dxfId="486">
      <pivotArea dataOnly="0" labelOnly="1" outline="0" fieldPosition="0">
        <references count="5">
          <reference field="1" count="1" selected="0">
            <x v="5"/>
          </reference>
          <reference field="2" count="1" selected="0">
            <x v="10"/>
          </reference>
          <reference field="3" count="1" selected="0">
            <x v="9"/>
          </reference>
          <reference field="4" count="1" selected="0">
            <x v="102"/>
          </reference>
          <reference field="8" count="1">
            <x v="30"/>
          </reference>
        </references>
      </pivotArea>
    </format>
    <format dxfId="485">
      <pivotArea dataOnly="0" labelOnly="1" outline="0" fieldPosition="0">
        <references count="5">
          <reference field="1" count="1" selected="0">
            <x v="7"/>
          </reference>
          <reference field="2" count="1" selected="0">
            <x v="11"/>
          </reference>
          <reference field="3" count="1" selected="0">
            <x v="22"/>
          </reference>
          <reference field="4" count="1" selected="0">
            <x v="30"/>
          </reference>
          <reference field="8" count="1">
            <x v="15"/>
          </reference>
        </references>
      </pivotArea>
    </format>
    <format dxfId="484">
      <pivotArea dataOnly="0" labelOnly="1" outline="0" fieldPosition="0">
        <references count="5">
          <reference field="1" count="1" selected="0">
            <x v="7"/>
          </reference>
          <reference field="2" count="1" selected="0">
            <x v="11"/>
          </reference>
          <reference field="3" count="1" selected="0">
            <x v="22"/>
          </reference>
          <reference field="4" count="1" selected="0">
            <x v="73"/>
          </reference>
          <reference field="8" count="1">
            <x v="2"/>
          </reference>
        </references>
      </pivotArea>
    </format>
    <format dxfId="483">
      <pivotArea dataOnly="0" labelOnly="1" outline="0" fieldPosition="0">
        <references count="5">
          <reference field="1" count="1" selected="0">
            <x v="7"/>
          </reference>
          <reference field="2" count="1" selected="0">
            <x v="11"/>
          </reference>
          <reference field="3" count="1" selected="0">
            <x v="22"/>
          </reference>
          <reference field="4" count="1" selected="0">
            <x v="95"/>
          </reference>
          <reference field="8" count="1">
            <x v="15"/>
          </reference>
        </references>
      </pivotArea>
    </format>
    <format dxfId="482">
      <pivotArea dataOnly="0" labelOnly="1" outline="0" fieldPosition="0">
        <references count="5">
          <reference field="1" count="1" selected="0">
            <x v="7"/>
          </reference>
          <reference field="2" count="1" selected="0">
            <x v="11"/>
          </reference>
          <reference field="3" count="1" selected="0">
            <x v="22"/>
          </reference>
          <reference field="4" count="1" selected="0">
            <x v="122"/>
          </reference>
          <reference field="8" count="1">
            <x v="32"/>
          </reference>
        </references>
      </pivotArea>
    </format>
    <format dxfId="481">
      <pivotArea dataOnly="0" labelOnly="1" outline="0" fieldPosition="0">
        <references count="5">
          <reference field="1" count="1" selected="0">
            <x v="7"/>
          </reference>
          <reference field="2" count="1" selected="0">
            <x v="11"/>
          </reference>
          <reference field="3" count="1" selected="0">
            <x v="22"/>
          </reference>
          <reference field="4" count="1" selected="0">
            <x v="132"/>
          </reference>
          <reference field="8" count="1">
            <x v="30"/>
          </reference>
        </references>
      </pivotArea>
    </format>
    <format dxfId="480">
      <pivotArea dataOnly="0" labelOnly="1" outline="0" fieldPosition="0">
        <references count="5">
          <reference field="1" count="1" selected="0">
            <x v="7"/>
          </reference>
          <reference field="2" count="1" selected="0">
            <x v="11"/>
          </reference>
          <reference field="3" count="1" selected="0">
            <x v="22"/>
          </reference>
          <reference field="4" count="1" selected="0">
            <x v="146"/>
          </reference>
          <reference field="8" count="1">
            <x v="1"/>
          </reference>
        </references>
      </pivotArea>
    </format>
    <format dxfId="479">
      <pivotArea dataOnly="0" labelOnly="1" outline="0" fieldPosition="0">
        <references count="5">
          <reference field="1" count="1" selected="0">
            <x v="7"/>
          </reference>
          <reference field="2" count="1" selected="0">
            <x v="11"/>
          </reference>
          <reference field="3" count="1" selected="0">
            <x v="22"/>
          </reference>
          <reference field="4" count="1" selected="0">
            <x v="154"/>
          </reference>
          <reference field="8" count="1">
            <x v="33"/>
          </reference>
        </references>
      </pivotArea>
    </format>
    <format dxfId="478">
      <pivotArea dataOnly="0" labelOnly="1" outline="0" fieldPosition="0">
        <references count="5">
          <reference field="1" count="1" selected="0">
            <x v="9"/>
          </reference>
          <reference field="2" count="1" selected="0">
            <x v="12"/>
          </reference>
          <reference field="3" count="1" selected="0">
            <x v="2"/>
          </reference>
          <reference field="4" count="1" selected="0">
            <x v="34"/>
          </reference>
          <reference field="8" count="1">
            <x v="15"/>
          </reference>
        </references>
      </pivotArea>
    </format>
    <format dxfId="477">
      <pivotArea dataOnly="0" labelOnly="1" outline="0" fieldPosition="0">
        <references count="5">
          <reference field="1" count="1" selected="0">
            <x v="9"/>
          </reference>
          <reference field="2" count="1" selected="0">
            <x v="12"/>
          </reference>
          <reference field="3" count="1" selected="0">
            <x v="2"/>
          </reference>
          <reference field="4" count="1" selected="0">
            <x v="93"/>
          </reference>
          <reference field="8" count="1">
            <x v="2"/>
          </reference>
        </references>
      </pivotArea>
    </format>
    <format dxfId="476">
      <pivotArea dataOnly="0" labelOnly="1" outline="0" fieldPosition="0">
        <references count="5">
          <reference field="1" count="1" selected="0">
            <x v="10"/>
          </reference>
          <reference field="2" count="1" selected="0">
            <x v="17"/>
          </reference>
          <reference field="3" count="1" selected="0">
            <x v="7"/>
          </reference>
          <reference field="4" count="1" selected="0">
            <x v="41"/>
          </reference>
          <reference field="8" count="1">
            <x v="9"/>
          </reference>
        </references>
      </pivotArea>
    </format>
    <format dxfId="475">
      <pivotArea dataOnly="0" labelOnly="1" outline="0" fieldPosition="0">
        <references count="5">
          <reference field="1" count="1" selected="0">
            <x v="10"/>
          </reference>
          <reference field="2" count="1" selected="0">
            <x v="17"/>
          </reference>
          <reference field="3" count="1" selected="0">
            <x v="7"/>
          </reference>
          <reference field="4" count="1" selected="0">
            <x v="96"/>
          </reference>
          <reference field="8" count="1">
            <x v="34"/>
          </reference>
        </references>
      </pivotArea>
    </format>
    <format dxfId="474">
      <pivotArea dataOnly="0" labelOnly="1" outline="0" fieldPosition="0">
        <references count="5">
          <reference field="1" count="1" selected="0">
            <x v="10"/>
          </reference>
          <reference field="2" count="1" selected="0">
            <x v="17"/>
          </reference>
          <reference field="3" count="1" selected="0">
            <x v="7"/>
          </reference>
          <reference field="4" count="1" selected="0">
            <x v="123"/>
          </reference>
          <reference field="8" count="1">
            <x v="9"/>
          </reference>
        </references>
      </pivotArea>
    </format>
    <format dxfId="473">
      <pivotArea dataOnly="0" labelOnly="1" outline="0" fieldPosition="0">
        <references count="5">
          <reference field="1" count="1" selected="0">
            <x v="10"/>
          </reference>
          <reference field="2" count="1" selected="0">
            <x v="17"/>
          </reference>
          <reference field="3" count="1" selected="0">
            <x v="7"/>
          </reference>
          <reference field="4" count="1" selected="0">
            <x v="135"/>
          </reference>
          <reference field="8" count="1">
            <x v="10"/>
          </reference>
        </references>
      </pivotArea>
    </format>
    <format dxfId="472">
      <pivotArea dataOnly="0" labelOnly="1" outline="0" fieldPosition="0">
        <references count="6">
          <reference field="1" count="1" selected="0">
            <x v="2"/>
          </reference>
          <reference field="2" count="1" selected="0">
            <x v="9"/>
          </reference>
          <reference field="3" count="1" selected="0">
            <x v="21"/>
          </reference>
          <reference field="4" count="1" selected="0">
            <x v="36"/>
          </reference>
          <reference field="8" count="1" selected="0">
            <x v="15"/>
          </reference>
          <reference field="9" count="1">
            <x v="0"/>
          </reference>
        </references>
      </pivotArea>
    </format>
    <format dxfId="471">
      <pivotArea dataOnly="0" labelOnly="1" outline="0" fieldPosition="0">
        <references count="6">
          <reference field="1" count="1" selected="0">
            <x v="2"/>
          </reference>
          <reference field="2" count="1" selected="0">
            <x v="9"/>
          </reference>
          <reference field="3" count="1" selected="0">
            <x v="21"/>
          </reference>
          <reference field="4" count="1" selected="0">
            <x v="62"/>
          </reference>
          <reference field="8" count="1" selected="0">
            <x v="2"/>
          </reference>
          <reference field="9" count="1">
            <x v="1"/>
          </reference>
        </references>
      </pivotArea>
    </format>
    <format dxfId="470">
      <pivotArea dataOnly="0" labelOnly="1" outline="0" fieldPosition="0">
        <references count="6">
          <reference field="1" count="1" selected="0">
            <x v="3"/>
          </reference>
          <reference field="2" count="1" selected="0">
            <x v="5"/>
          </reference>
          <reference field="3" count="1" selected="0">
            <x v="8"/>
          </reference>
          <reference field="4" count="1" selected="0">
            <x v="6"/>
          </reference>
          <reference field="8" count="1" selected="0">
            <x v="15"/>
          </reference>
          <reference field="9" count="1">
            <x v="8"/>
          </reference>
        </references>
      </pivotArea>
    </format>
    <format dxfId="469">
      <pivotArea dataOnly="0" labelOnly="1" outline="0" fieldPosition="0">
        <references count="6">
          <reference field="1" count="1" selected="0">
            <x v="3"/>
          </reference>
          <reference field="2" count="1" selected="0">
            <x v="5"/>
          </reference>
          <reference field="3" count="1" selected="0">
            <x v="8"/>
          </reference>
          <reference field="4" count="1" selected="0">
            <x v="8"/>
          </reference>
          <reference field="8" count="1" selected="0">
            <x v="2"/>
          </reference>
          <reference field="9" count="1">
            <x v="47"/>
          </reference>
        </references>
      </pivotArea>
    </format>
    <format dxfId="468">
      <pivotArea dataOnly="0" labelOnly="1" outline="0" fieldPosition="0">
        <references count="6">
          <reference field="1" count="1" selected="0">
            <x v="3"/>
          </reference>
          <reference field="2" count="1" selected="0">
            <x v="5"/>
          </reference>
          <reference field="3" count="1" selected="0">
            <x v="8"/>
          </reference>
          <reference field="4" count="1" selected="0">
            <x v="10"/>
          </reference>
          <reference field="8" count="1" selected="0">
            <x v="13"/>
          </reference>
          <reference field="9" count="1">
            <x v="9"/>
          </reference>
        </references>
      </pivotArea>
    </format>
    <format dxfId="467">
      <pivotArea dataOnly="0" labelOnly="1" outline="0" fieldPosition="0">
        <references count="6">
          <reference field="1" count="1" selected="0">
            <x v="3"/>
          </reference>
          <reference field="2" count="1" selected="0">
            <x v="5"/>
          </reference>
          <reference field="3" count="1" selected="0">
            <x v="8"/>
          </reference>
          <reference field="4" count="1" selected="0">
            <x v="17"/>
          </reference>
          <reference field="8" count="1" selected="0">
            <x v="0"/>
          </reference>
          <reference field="9" count="1">
            <x v="20"/>
          </reference>
        </references>
      </pivotArea>
    </format>
    <format dxfId="466">
      <pivotArea dataOnly="0" labelOnly="1" outline="0" fieldPosition="0">
        <references count="6">
          <reference field="1" count="1" selected="0">
            <x v="3"/>
          </reference>
          <reference field="2" count="1" selected="0">
            <x v="5"/>
          </reference>
          <reference field="3" count="1" selected="0">
            <x v="8"/>
          </reference>
          <reference field="4" count="1" selected="0">
            <x v="19"/>
          </reference>
          <reference field="8" count="1" selected="0">
            <x v="1"/>
          </reference>
          <reference field="9" count="1">
            <x v="10"/>
          </reference>
        </references>
      </pivotArea>
    </format>
    <format dxfId="465">
      <pivotArea dataOnly="0" labelOnly="1" outline="0" fieldPosition="0">
        <references count="6">
          <reference field="1" count="1" selected="0">
            <x v="3"/>
          </reference>
          <reference field="2" count="1" selected="0">
            <x v="5"/>
          </reference>
          <reference field="3" count="1" selected="0">
            <x v="8"/>
          </reference>
          <reference field="4" count="1" selected="0">
            <x v="21"/>
          </reference>
          <reference field="8" count="1" selected="0">
            <x v="15"/>
          </reference>
          <reference field="9" count="1">
            <x v="12"/>
          </reference>
        </references>
      </pivotArea>
    </format>
    <format dxfId="464">
      <pivotArea dataOnly="0" labelOnly="1" outline="0" fieldPosition="0">
        <references count="6">
          <reference field="1" count="1" selected="0">
            <x v="3"/>
          </reference>
          <reference field="2" count="1" selected="0">
            <x v="5"/>
          </reference>
          <reference field="3" count="1" selected="0">
            <x v="8"/>
          </reference>
          <reference field="4" count="1" selected="0">
            <x v="23"/>
          </reference>
          <reference field="8" count="1" selected="0">
            <x v="15"/>
          </reference>
          <reference field="9" count="1">
            <x v="13"/>
          </reference>
        </references>
      </pivotArea>
    </format>
    <format dxfId="463">
      <pivotArea dataOnly="0" labelOnly="1" outline="0" fieldPosition="0">
        <references count="6">
          <reference field="1" count="1" selected="0">
            <x v="3"/>
          </reference>
          <reference field="2" count="1" selected="0">
            <x v="5"/>
          </reference>
          <reference field="3" count="1" selected="0">
            <x v="8"/>
          </reference>
          <reference field="4" count="1" selected="0">
            <x v="45"/>
          </reference>
          <reference field="8" count="1" selected="0">
            <x v="2"/>
          </reference>
          <reference field="9" count="1">
            <x v="46"/>
          </reference>
        </references>
      </pivotArea>
    </format>
    <format dxfId="462">
      <pivotArea dataOnly="0" labelOnly="1" outline="0" fieldPosition="0">
        <references count="6">
          <reference field="1" count="1" selected="0">
            <x v="3"/>
          </reference>
          <reference field="2" count="1" selected="0">
            <x v="5"/>
          </reference>
          <reference field="3" count="1" selected="0">
            <x v="8"/>
          </reference>
          <reference field="4" count="1" selected="0">
            <x v="47"/>
          </reference>
          <reference field="8" count="1" selected="0">
            <x v="25"/>
          </reference>
          <reference field="9" count="1">
            <x v="14"/>
          </reference>
        </references>
      </pivotArea>
    </format>
    <format dxfId="461">
      <pivotArea dataOnly="0" labelOnly="1" outline="0" fieldPosition="0">
        <references count="6">
          <reference field="1" count="1" selected="0">
            <x v="3"/>
          </reference>
          <reference field="2" count="1" selected="0">
            <x v="5"/>
          </reference>
          <reference field="3" count="1" selected="0">
            <x v="8"/>
          </reference>
          <reference field="4" count="1" selected="0">
            <x v="48"/>
          </reference>
          <reference field="8" count="1" selected="0">
            <x v="25"/>
          </reference>
          <reference field="9" count="1">
            <x v="52"/>
          </reference>
        </references>
      </pivotArea>
    </format>
    <format dxfId="460">
      <pivotArea dataOnly="0" labelOnly="1" outline="0" fieldPosition="0">
        <references count="6">
          <reference field="1" count="1" selected="0">
            <x v="3"/>
          </reference>
          <reference field="2" count="1" selected="0">
            <x v="5"/>
          </reference>
          <reference field="3" count="1" selected="0">
            <x v="8"/>
          </reference>
          <reference field="4" count="1" selected="0">
            <x v="50"/>
          </reference>
          <reference field="8" count="1" selected="0">
            <x v="1"/>
          </reference>
          <reference field="9" count="1">
            <x v="15"/>
          </reference>
        </references>
      </pivotArea>
    </format>
    <format dxfId="459">
      <pivotArea dataOnly="0" labelOnly="1" outline="0" fieldPosition="0">
        <references count="6">
          <reference field="1" count="1" selected="0">
            <x v="3"/>
          </reference>
          <reference field="2" count="1" selected="0">
            <x v="5"/>
          </reference>
          <reference field="3" count="1" selected="0">
            <x v="8"/>
          </reference>
          <reference field="4" count="1" selected="0">
            <x v="51"/>
          </reference>
          <reference field="8" count="1" selected="0">
            <x v="12"/>
          </reference>
          <reference field="9" count="1">
            <x v="16"/>
          </reference>
        </references>
      </pivotArea>
    </format>
    <format dxfId="458">
      <pivotArea dataOnly="0" labelOnly="1" outline="0" fieldPosition="0">
        <references count="6">
          <reference field="1" count="1" selected="0">
            <x v="3"/>
          </reference>
          <reference field="2" count="1" selected="0">
            <x v="7"/>
          </reference>
          <reference field="3" count="1" selected="0">
            <x v="10"/>
          </reference>
          <reference field="4" count="1" selected="0">
            <x v="52"/>
          </reference>
          <reference field="8" count="1" selected="0">
            <x v="25"/>
          </reference>
          <reference field="9" count="1">
            <x v="53"/>
          </reference>
        </references>
      </pivotArea>
    </format>
    <format dxfId="457">
      <pivotArea dataOnly="0" labelOnly="1" outline="0" fieldPosition="0">
        <references count="6">
          <reference field="1" count="1" selected="0">
            <x v="3"/>
          </reference>
          <reference field="2" count="1" selected="0">
            <x v="7"/>
          </reference>
          <reference field="3" count="1" selected="0">
            <x v="10"/>
          </reference>
          <reference field="4" count="1" selected="0">
            <x v="53"/>
          </reference>
          <reference field="8" count="1" selected="0">
            <x v="17"/>
          </reference>
          <reference field="9" count="1">
            <x v="49"/>
          </reference>
        </references>
      </pivotArea>
    </format>
    <format dxfId="456">
      <pivotArea dataOnly="0" labelOnly="1" outline="0" fieldPosition="0">
        <references count="6">
          <reference field="1" count="1" selected="0">
            <x v="3"/>
          </reference>
          <reference field="2" count="1" selected="0">
            <x v="13"/>
          </reference>
          <reference field="3" count="1" selected="0">
            <x v="17"/>
          </reference>
          <reference field="4" count="1" selected="0">
            <x v="55"/>
          </reference>
          <reference field="8" count="1" selected="0">
            <x v="5"/>
          </reference>
          <reference field="9" count="1">
            <x v="11"/>
          </reference>
        </references>
      </pivotArea>
    </format>
    <format dxfId="455">
      <pivotArea dataOnly="0" labelOnly="1" outline="0" fieldPosition="0">
        <references count="6">
          <reference field="1" count="1" selected="0">
            <x v="4"/>
          </reference>
          <reference field="2" count="1" selected="0">
            <x v="14"/>
          </reference>
          <reference field="3" count="1" selected="0">
            <x v="4"/>
          </reference>
          <reference field="4" count="1" selected="0">
            <x v="32"/>
          </reference>
          <reference field="8" count="1" selected="0">
            <x v="15"/>
          </reference>
          <reference field="9" count="1">
            <x v="41"/>
          </reference>
        </references>
      </pivotArea>
    </format>
    <format dxfId="454">
      <pivotArea dataOnly="0" labelOnly="1" outline="0" fieldPosition="0">
        <references count="6">
          <reference field="1" count="1" selected="0">
            <x v="4"/>
          </reference>
          <reference field="2" count="1" selected="0">
            <x v="14"/>
          </reference>
          <reference field="3" count="1" selected="0">
            <x v="4"/>
          </reference>
          <reference field="4" count="1" selected="0">
            <x v="58"/>
          </reference>
          <reference field="8" count="1" selected="0">
            <x v="2"/>
          </reference>
          <reference field="9" count="1">
            <x v="42"/>
          </reference>
        </references>
      </pivotArea>
    </format>
    <format dxfId="453">
      <pivotArea dataOnly="0" labelOnly="1" outline="0" fieldPosition="0">
        <references count="6">
          <reference field="1" count="1" selected="0">
            <x v="5"/>
          </reference>
          <reference field="2" count="1" selected="0">
            <x v="10"/>
          </reference>
          <reference field="3" count="1" selected="0">
            <x v="9"/>
          </reference>
          <reference field="4" count="1" selected="0">
            <x v="26"/>
          </reference>
          <reference field="8" count="1" selected="0">
            <x v="8"/>
          </reference>
          <reference field="9" count="1">
            <x v="39"/>
          </reference>
        </references>
      </pivotArea>
    </format>
    <format dxfId="452">
      <pivotArea dataOnly="0" labelOnly="1" outline="0" fieldPosition="0">
        <references count="6">
          <reference field="1" count="1" selected="0">
            <x v="5"/>
          </reference>
          <reference field="2" count="1" selected="0">
            <x v="10"/>
          </reference>
          <reference field="3" count="1" selected="0">
            <x v="9"/>
          </reference>
          <reference field="4" count="1" selected="0">
            <x v="67"/>
          </reference>
          <reference field="8" count="1" selected="0">
            <x v="8"/>
          </reference>
          <reference field="9" count="1">
            <x v="40"/>
          </reference>
        </references>
      </pivotArea>
    </format>
    <format dxfId="451">
      <pivotArea dataOnly="0" labelOnly="1" outline="0" fieldPosition="0">
        <references count="6">
          <reference field="1" count="1" selected="0">
            <x v="5"/>
          </reference>
          <reference field="2" count="1" selected="0">
            <x v="10"/>
          </reference>
          <reference field="3" count="1" selected="0">
            <x v="9"/>
          </reference>
          <reference field="4" count="1" selected="0">
            <x v="90"/>
          </reference>
          <reference field="8" count="1" selected="0">
            <x v="31"/>
          </reference>
          <reference field="9" count="1">
            <x v="55"/>
          </reference>
        </references>
      </pivotArea>
    </format>
    <format dxfId="450">
      <pivotArea dataOnly="0" labelOnly="1" outline="0" fieldPosition="0">
        <references count="6">
          <reference field="1" count="1" selected="0">
            <x v="5"/>
          </reference>
          <reference field="2" count="1" selected="0">
            <x v="10"/>
          </reference>
          <reference field="3" count="1" selected="0">
            <x v="9"/>
          </reference>
          <reference field="4" count="1" selected="0">
            <x v="102"/>
          </reference>
          <reference field="8" count="1" selected="0">
            <x v="30"/>
          </reference>
          <reference field="9" count="1">
            <x v="54"/>
          </reference>
        </references>
      </pivotArea>
    </format>
    <format dxfId="449">
      <pivotArea dataOnly="0" labelOnly="1" outline="0" fieldPosition="0">
        <references count="6">
          <reference field="1" count="1" selected="0">
            <x v="7"/>
          </reference>
          <reference field="2" count="1" selected="0">
            <x v="11"/>
          </reference>
          <reference field="3" count="1" selected="0">
            <x v="22"/>
          </reference>
          <reference field="4" count="1" selected="0">
            <x v="30"/>
          </reference>
          <reference field="8" count="1" selected="0">
            <x v="15"/>
          </reference>
          <reference field="9" count="1">
            <x v="30"/>
          </reference>
        </references>
      </pivotArea>
    </format>
    <format dxfId="448">
      <pivotArea dataOnly="0" labelOnly="1" outline="0" fieldPosition="0">
        <references count="6">
          <reference field="1" count="1" selected="0">
            <x v="7"/>
          </reference>
          <reference field="2" count="1" selected="0">
            <x v="11"/>
          </reference>
          <reference field="3" count="1" selected="0">
            <x v="22"/>
          </reference>
          <reference field="4" count="1" selected="0">
            <x v="73"/>
          </reference>
          <reference field="8" count="1" selected="0">
            <x v="2"/>
          </reference>
          <reference field="9" count="1">
            <x v="35"/>
          </reference>
        </references>
      </pivotArea>
    </format>
    <format dxfId="447">
      <pivotArea dataOnly="0" labelOnly="1" outline="0" fieldPosition="0">
        <references count="6">
          <reference field="1" count="1" selected="0">
            <x v="7"/>
          </reference>
          <reference field="2" count="1" selected="0">
            <x v="11"/>
          </reference>
          <reference field="3" count="1" selected="0">
            <x v="22"/>
          </reference>
          <reference field="4" count="1" selected="0">
            <x v="95"/>
          </reference>
          <reference field="8" count="1" selected="0">
            <x v="15"/>
          </reference>
          <reference field="9" count="1">
            <x v="56"/>
          </reference>
        </references>
      </pivotArea>
    </format>
    <format dxfId="446">
      <pivotArea dataOnly="0" labelOnly="1" outline="0" fieldPosition="0">
        <references count="6">
          <reference field="1" count="1" selected="0">
            <x v="7"/>
          </reference>
          <reference field="2" count="1" selected="0">
            <x v="11"/>
          </reference>
          <reference field="3" count="1" selected="0">
            <x v="22"/>
          </reference>
          <reference field="4" count="1" selected="0">
            <x v="122"/>
          </reference>
          <reference field="8" count="1" selected="0">
            <x v="32"/>
          </reference>
          <reference field="9" count="1">
            <x v="56"/>
          </reference>
        </references>
      </pivotArea>
    </format>
    <format dxfId="445">
      <pivotArea dataOnly="0" labelOnly="1" outline="0" fieldPosition="0">
        <references count="6">
          <reference field="1" count="1" selected="0">
            <x v="7"/>
          </reference>
          <reference field="2" count="1" selected="0">
            <x v="11"/>
          </reference>
          <reference field="3" count="1" selected="0">
            <x v="22"/>
          </reference>
          <reference field="4" count="1" selected="0">
            <x v="132"/>
          </reference>
          <reference field="8" count="1" selected="0">
            <x v="30"/>
          </reference>
          <reference field="9" count="1">
            <x v="57"/>
          </reference>
        </references>
      </pivotArea>
    </format>
    <format dxfId="444">
      <pivotArea dataOnly="0" labelOnly="1" outline="0" fieldPosition="0">
        <references count="6">
          <reference field="1" count="1" selected="0">
            <x v="7"/>
          </reference>
          <reference field="2" count="1" selected="0">
            <x v="11"/>
          </reference>
          <reference field="3" count="1" selected="0">
            <x v="22"/>
          </reference>
          <reference field="4" count="1" selected="0">
            <x v="146"/>
          </reference>
          <reference field="8" count="1" selected="0">
            <x v="1"/>
          </reference>
          <reference field="9" count="1">
            <x v="38"/>
          </reference>
        </references>
      </pivotArea>
    </format>
    <format dxfId="443">
      <pivotArea dataOnly="0" labelOnly="1" outline="0" fieldPosition="0">
        <references count="6">
          <reference field="1" count="1" selected="0">
            <x v="9"/>
          </reference>
          <reference field="2" count="1" selected="0">
            <x v="12"/>
          </reference>
          <reference field="3" count="1" selected="0">
            <x v="2"/>
          </reference>
          <reference field="4" count="1" selected="0">
            <x v="34"/>
          </reference>
          <reference field="8" count="1" selected="0">
            <x v="15"/>
          </reference>
          <reference field="9" count="1">
            <x v="30"/>
          </reference>
        </references>
      </pivotArea>
    </format>
    <format dxfId="442">
      <pivotArea dataOnly="0" labelOnly="1" outline="0" fieldPosition="0">
        <references count="6">
          <reference field="1" count="1" selected="0">
            <x v="9"/>
          </reference>
          <reference field="2" count="1" selected="0">
            <x v="12"/>
          </reference>
          <reference field="3" count="1" selected="0">
            <x v="2"/>
          </reference>
          <reference field="4" count="1" selected="0">
            <x v="71"/>
          </reference>
          <reference field="8" count="1" selected="0">
            <x v="15"/>
          </reference>
          <reference field="9" count="1">
            <x v="24"/>
          </reference>
        </references>
      </pivotArea>
    </format>
    <format dxfId="441">
      <pivotArea dataOnly="0" labelOnly="1" outline="0" fieldPosition="0">
        <references count="6">
          <reference field="1" count="1" selected="0">
            <x v="9"/>
          </reference>
          <reference field="2" count="1" selected="0">
            <x v="12"/>
          </reference>
          <reference field="3" count="1" selected="0">
            <x v="2"/>
          </reference>
          <reference field="4" count="1" selected="0">
            <x v="93"/>
          </reference>
          <reference field="8" count="1" selected="0">
            <x v="2"/>
          </reference>
          <reference field="9" count="1">
            <x v="36"/>
          </reference>
        </references>
      </pivotArea>
    </format>
    <format dxfId="440">
      <pivotArea dataOnly="0" labelOnly="1" outline="0" fieldPosition="0">
        <references count="6">
          <reference field="1" count="1" selected="0">
            <x v="9"/>
          </reference>
          <reference field="2" count="1" selected="0">
            <x v="12"/>
          </reference>
          <reference field="3" count="1" selected="0">
            <x v="2"/>
          </reference>
          <reference field="4" count="1" selected="0">
            <x v="103"/>
          </reference>
          <reference field="8" count="1" selected="0">
            <x v="2"/>
          </reference>
          <reference field="9" count="1">
            <x v="37"/>
          </reference>
        </references>
      </pivotArea>
    </format>
    <format dxfId="439">
      <pivotArea dataOnly="0" labelOnly="1" outline="0" fieldPosition="0">
        <references count="6">
          <reference field="1" count="1" selected="0">
            <x v="10"/>
          </reference>
          <reference field="2" count="1" selected="0">
            <x v="17"/>
          </reference>
          <reference field="3" count="1" selected="0">
            <x v="7"/>
          </reference>
          <reference field="4" count="1" selected="0">
            <x v="41"/>
          </reference>
          <reference field="8" count="1" selected="0">
            <x v="9"/>
          </reference>
          <reference field="9" count="1">
            <x v="50"/>
          </reference>
        </references>
      </pivotArea>
    </format>
    <format dxfId="438">
      <pivotArea dataOnly="0" labelOnly="1" outline="0" fieldPosition="0">
        <references count="6">
          <reference field="1" count="1" selected="0">
            <x v="10"/>
          </reference>
          <reference field="2" count="1" selected="0">
            <x v="17"/>
          </reference>
          <reference field="3" count="1" selected="0">
            <x v="7"/>
          </reference>
          <reference field="4" count="1" selected="0">
            <x v="96"/>
          </reference>
          <reference field="8" count="1" selected="0">
            <x v="34"/>
          </reference>
          <reference field="9" count="1">
            <x v="51"/>
          </reference>
        </references>
      </pivotArea>
    </format>
    <format dxfId="437">
      <pivotArea dataOnly="0" labelOnly="1" outline="0" fieldPosition="0">
        <references count="6">
          <reference field="1" count="1" selected="0">
            <x v="10"/>
          </reference>
          <reference field="2" count="1" selected="0">
            <x v="17"/>
          </reference>
          <reference field="3" count="1" selected="0">
            <x v="7"/>
          </reference>
          <reference field="4" count="1" selected="0">
            <x v="123"/>
          </reference>
          <reference field="8" count="1" selected="0">
            <x v="9"/>
          </reference>
          <reference field="9" count="1">
            <x v="26"/>
          </reference>
        </references>
      </pivotArea>
    </format>
    <format dxfId="436">
      <pivotArea dataOnly="0" labelOnly="1" outline="0" fieldPosition="0">
        <references count="6">
          <reference field="1" count="1" selected="0">
            <x v="10"/>
          </reference>
          <reference field="2" count="1" selected="0">
            <x v="17"/>
          </reference>
          <reference field="3" count="1" selected="0">
            <x v="7"/>
          </reference>
          <reference field="4" count="1" selected="0">
            <x v="135"/>
          </reference>
          <reference field="8" count="1" selected="0">
            <x v="10"/>
          </reference>
          <reference field="9" count="1">
            <x v="58"/>
          </reference>
        </references>
      </pivotArea>
    </format>
    <format dxfId="435">
      <pivotArea dataOnly="0" labelOnly="1" outline="0" fieldPosition="0">
        <references count="1">
          <reference field="14" count="4">
            <x v="0"/>
            <x v="1"/>
            <x v="2"/>
            <x v="3"/>
          </reference>
        </references>
      </pivotArea>
    </format>
    <format dxfId="434">
      <pivotArea dataOnly="0" labelOnly="1" grandCol="1" outline="0" fieldPosition="0"/>
    </format>
    <format dxfId="433">
      <pivotArea field="1" type="button" dataOnly="0" labelOnly="1" outline="0" axis="axisRow" fieldPosition="0"/>
    </format>
    <format dxfId="432">
      <pivotArea field="2" type="button" dataOnly="0" labelOnly="1" outline="0" axis="axisRow" fieldPosition="2"/>
    </format>
    <format dxfId="431">
      <pivotArea field="3" type="button" dataOnly="0" labelOnly="1" outline="0" axis="axisRow" fieldPosition="3"/>
    </format>
    <format dxfId="430">
      <pivotArea field="4" type="button" dataOnly="0" labelOnly="1" outline="0" axis="axisRow" fieldPosition="4"/>
    </format>
    <format dxfId="429">
      <pivotArea field="8" type="button" dataOnly="0" labelOnly="1" outline="0" axis="axisRow" fieldPosition="5"/>
    </format>
    <format dxfId="428">
      <pivotArea field="9" type="button" dataOnly="0" labelOnly="1" outline="0" axis="axisRow" fieldPosition="6"/>
    </format>
    <format dxfId="427">
      <pivotArea dataOnly="0" labelOnly="1" outline="0" fieldPosition="0">
        <references count="1">
          <reference field="14" count="4">
            <x v="0"/>
            <x v="1"/>
            <x v="2"/>
            <x v="3"/>
          </reference>
        </references>
      </pivotArea>
    </format>
    <format dxfId="426">
      <pivotArea dataOnly="0" labelOnly="1" grandCol="1" outline="0" fieldPosition="0"/>
    </format>
    <format dxfId="425">
      <pivotArea field="1" type="button" dataOnly="0" labelOnly="1" outline="0" axis="axisRow" fieldPosition="0"/>
    </format>
    <format dxfId="424">
      <pivotArea field="2" type="button" dataOnly="0" labelOnly="1" outline="0" axis="axisRow" fieldPosition="2"/>
    </format>
    <format dxfId="423">
      <pivotArea field="3" type="button" dataOnly="0" labelOnly="1" outline="0" axis="axisRow" fieldPosition="3"/>
    </format>
    <format dxfId="422">
      <pivotArea field="4" type="button" dataOnly="0" labelOnly="1" outline="0" axis="axisRow" fieldPosition="4"/>
    </format>
    <format dxfId="421">
      <pivotArea field="8" type="button" dataOnly="0" labelOnly="1" outline="0" axis="axisRow" fieldPosition="5"/>
    </format>
    <format dxfId="420">
      <pivotArea field="9" type="button" dataOnly="0" labelOnly="1" outline="0" axis="axisRow" fieldPosition="6"/>
    </format>
    <format dxfId="419">
      <pivotArea dataOnly="0" labelOnly="1" outline="0" fieldPosition="0">
        <references count="1">
          <reference field="14" count="4">
            <x v="0"/>
            <x v="1"/>
            <x v="2"/>
            <x v="3"/>
          </reference>
        </references>
      </pivotArea>
    </format>
    <format dxfId="418">
      <pivotArea dataOnly="0" labelOnly="1" grandCol="1" outline="0" fieldPosition="0"/>
    </format>
    <format dxfId="417">
      <pivotArea type="all" dataOnly="0" outline="0" fieldPosition="0"/>
    </format>
    <format dxfId="416">
      <pivotArea outline="0" collapsedLevelsAreSubtotals="1" fieldPosition="0"/>
    </format>
    <format dxfId="415">
      <pivotArea type="origin" dataOnly="0" labelOnly="1" outline="0" fieldPosition="0"/>
    </format>
    <format dxfId="414">
      <pivotArea field="14" type="button" dataOnly="0" labelOnly="1" outline="0" axis="axisPage" fieldPosition="2"/>
    </format>
    <format dxfId="413">
      <pivotArea type="topRight" dataOnly="0" labelOnly="1" outline="0" fieldPosition="0"/>
    </format>
    <format dxfId="412">
      <pivotArea field="1" type="button" dataOnly="0" labelOnly="1" outline="0" axis="axisRow" fieldPosition="0"/>
    </format>
    <format dxfId="411">
      <pivotArea field="2" type="button" dataOnly="0" labelOnly="1" outline="0" axis="axisRow" fieldPosition="2"/>
    </format>
    <format dxfId="410">
      <pivotArea field="3" type="button" dataOnly="0" labelOnly="1" outline="0" axis="axisRow" fieldPosition="3"/>
    </format>
    <format dxfId="409">
      <pivotArea field="4" type="button" dataOnly="0" labelOnly="1" outline="0" axis="axisRow" fieldPosition="4"/>
    </format>
    <format dxfId="408">
      <pivotArea field="8" type="button" dataOnly="0" labelOnly="1" outline="0" axis="axisRow" fieldPosition="5"/>
    </format>
    <format dxfId="407">
      <pivotArea field="9" type="button" dataOnly="0" labelOnly="1" outline="0" axis="axisRow" fieldPosition="6"/>
    </format>
    <format dxfId="406">
      <pivotArea dataOnly="0" labelOnly="1" outline="0" fieldPosition="0">
        <references count="1">
          <reference field="1" count="0"/>
        </references>
      </pivotArea>
    </format>
    <format dxfId="405">
      <pivotArea dataOnly="0" labelOnly="1" grandRow="1" outline="0" fieldPosition="0"/>
    </format>
    <format dxfId="404">
      <pivotArea dataOnly="0" labelOnly="1" outline="0" fieldPosition="0">
        <references count="2">
          <reference field="1" count="0" selected="0"/>
          <reference field="2" count="3">
            <x v="5"/>
            <x v="7"/>
            <x v="13"/>
          </reference>
        </references>
      </pivotArea>
    </format>
    <format dxfId="403">
      <pivotArea dataOnly="0" labelOnly="1" outline="0" fieldPosition="0">
        <references count="3">
          <reference field="1" count="0" selected="0"/>
          <reference field="2" count="1" selected="0">
            <x v="5"/>
          </reference>
          <reference field="3" count="1">
            <x v="8"/>
          </reference>
        </references>
      </pivotArea>
    </format>
    <format dxfId="402">
      <pivotArea dataOnly="0" labelOnly="1" outline="0" fieldPosition="0">
        <references count="3">
          <reference field="1" count="0" selected="0"/>
          <reference field="2" count="1" selected="0">
            <x v="7"/>
          </reference>
          <reference field="3" count="1">
            <x v="10"/>
          </reference>
        </references>
      </pivotArea>
    </format>
    <format dxfId="401">
      <pivotArea dataOnly="0" labelOnly="1" outline="0" fieldPosition="0">
        <references count="3">
          <reference field="1" count="0" selected="0"/>
          <reference field="2" count="1" selected="0">
            <x v="13"/>
          </reference>
          <reference field="3" count="1">
            <x v="17"/>
          </reference>
        </references>
      </pivotArea>
    </format>
    <format dxfId="400">
      <pivotArea dataOnly="0" labelOnly="1" outline="0" fieldPosition="0">
        <references count="4">
          <reference field="1" count="0" selected="0"/>
          <reference field="2" count="1" selected="0">
            <x v="5"/>
          </reference>
          <reference field="3" count="1" selected="0">
            <x v="8"/>
          </reference>
          <reference field="4" count="14">
            <x v="6"/>
            <x v="8"/>
            <x v="10"/>
            <x v="12"/>
            <x v="14"/>
            <x v="16"/>
            <x v="19"/>
            <x v="21"/>
            <x v="23"/>
            <x v="45"/>
            <x v="47"/>
            <x v="48"/>
            <x v="50"/>
            <x v="51"/>
          </reference>
        </references>
      </pivotArea>
    </format>
    <format dxfId="399">
      <pivotArea dataOnly="0" labelOnly="1" outline="0" fieldPosition="0">
        <references count="4">
          <reference field="1" count="0" selected="0"/>
          <reference field="2" count="1" selected="0">
            <x v="7"/>
          </reference>
          <reference field="3" count="1" selected="0">
            <x v="10"/>
          </reference>
          <reference field="4" count="2">
            <x v="52"/>
            <x v="53"/>
          </reference>
        </references>
      </pivotArea>
    </format>
    <format dxfId="398">
      <pivotArea dataOnly="0" labelOnly="1" outline="0" fieldPosition="0">
        <references count="4">
          <reference field="1" count="0" selected="0"/>
          <reference field="2" count="1" selected="0">
            <x v="13"/>
          </reference>
          <reference field="3" count="1" selected="0">
            <x v="17"/>
          </reference>
          <reference field="4" count="1">
            <x v="54"/>
          </reference>
        </references>
      </pivotArea>
    </format>
    <format dxfId="397">
      <pivotArea dataOnly="0" labelOnly="1" outline="0" fieldPosition="0">
        <references count="5">
          <reference field="1" count="0" selected="0"/>
          <reference field="2" count="1" selected="0">
            <x v="5"/>
          </reference>
          <reference field="3" count="1" selected="0">
            <x v="8"/>
          </reference>
          <reference field="4" count="1" selected="0">
            <x v="6"/>
          </reference>
          <reference field="8" count="1">
            <x v="14"/>
          </reference>
        </references>
      </pivotArea>
    </format>
    <format dxfId="396">
      <pivotArea dataOnly="0" labelOnly="1" outline="0" fieldPosition="0">
        <references count="5">
          <reference field="1" count="0" selected="0"/>
          <reference field="2" count="1" selected="0">
            <x v="5"/>
          </reference>
          <reference field="3" count="1" selected="0">
            <x v="8"/>
          </reference>
          <reference field="4" count="1" selected="0">
            <x v="8"/>
          </reference>
          <reference field="8" count="1">
            <x v="2"/>
          </reference>
        </references>
      </pivotArea>
    </format>
    <format dxfId="395">
      <pivotArea dataOnly="0" labelOnly="1" outline="0" fieldPosition="0">
        <references count="5">
          <reference field="1" count="0" selected="0"/>
          <reference field="2" count="1" selected="0">
            <x v="5"/>
          </reference>
          <reference field="3" count="1" selected="0">
            <x v="8"/>
          </reference>
          <reference field="4" count="1" selected="0">
            <x v="10"/>
          </reference>
          <reference field="8" count="1">
            <x v="12"/>
          </reference>
        </references>
      </pivotArea>
    </format>
    <format dxfId="394">
      <pivotArea dataOnly="0" labelOnly="1" outline="0" fieldPosition="0">
        <references count="5">
          <reference field="1" count="0" selected="0"/>
          <reference field="2" count="1" selected="0">
            <x v="5"/>
          </reference>
          <reference field="3" count="1" selected="0">
            <x v="8"/>
          </reference>
          <reference field="4" count="1" selected="0">
            <x v="14"/>
          </reference>
          <reference field="8" count="1">
            <x v="47"/>
          </reference>
        </references>
      </pivotArea>
    </format>
    <format dxfId="393">
      <pivotArea dataOnly="0" labelOnly="1" outline="0" fieldPosition="0">
        <references count="5">
          <reference field="1" count="0" selected="0"/>
          <reference field="2" count="1" selected="0">
            <x v="5"/>
          </reference>
          <reference field="3" count="1" selected="0">
            <x v="8"/>
          </reference>
          <reference field="4" count="1" selected="0">
            <x v="16"/>
          </reference>
          <reference field="8" count="1">
            <x v="12"/>
          </reference>
        </references>
      </pivotArea>
    </format>
    <format dxfId="392">
      <pivotArea dataOnly="0" labelOnly="1" outline="0" fieldPosition="0">
        <references count="5">
          <reference field="1" count="0" selected="0"/>
          <reference field="2" count="1" selected="0">
            <x v="5"/>
          </reference>
          <reference field="3" count="1" selected="0">
            <x v="8"/>
          </reference>
          <reference field="4" count="1" selected="0">
            <x v="19"/>
          </reference>
          <reference field="8" count="1">
            <x v="48"/>
          </reference>
        </references>
      </pivotArea>
    </format>
    <format dxfId="391">
      <pivotArea dataOnly="0" labelOnly="1" outline="0" fieldPosition="0">
        <references count="5">
          <reference field="1" count="0" selected="0"/>
          <reference field="2" count="1" selected="0">
            <x v="5"/>
          </reference>
          <reference field="3" count="1" selected="0">
            <x v="8"/>
          </reference>
          <reference field="4" count="1" selected="0">
            <x v="21"/>
          </reference>
          <reference field="8" count="1">
            <x v="14"/>
          </reference>
        </references>
      </pivotArea>
    </format>
    <format dxfId="390">
      <pivotArea dataOnly="0" labelOnly="1" outline="0" fieldPosition="0">
        <references count="5">
          <reference field="1" count="0" selected="0"/>
          <reference field="2" count="1" selected="0">
            <x v="5"/>
          </reference>
          <reference field="3" count="1" selected="0">
            <x v="8"/>
          </reference>
          <reference field="4" count="1" selected="0">
            <x v="45"/>
          </reference>
          <reference field="8" count="1">
            <x v="2"/>
          </reference>
        </references>
      </pivotArea>
    </format>
    <format dxfId="389">
      <pivotArea dataOnly="0" labelOnly="1" outline="0" fieldPosition="0">
        <references count="5">
          <reference field="1" count="0" selected="0"/>
          <reference field="2" count="1" selected="0">
            <x v="5"/>
          </reference>
          <reference field="3" count="1" selected="0">
            <x v="8"/>
          </reference>
          <reference field="4" count="1" selected="0">
            <x v="47"/>
          </reference>
          <reference field="8" count="1">
            <x v="25"/>
          </reference>
        </references>
      </pivotArea>
    </format>
    <format dxfId="388">
      <pivotArea dataOnly="0" labelOnly="1" outline="0" fieldPosition="0">
        <references count="5">
          <reference field="1" count="0" selected="0"/>
          <reference field="2" count="1" selected="0">
            <x v="5"/>
          </reference>
          <reference field="3" count="1" selected="0">
            <x v="8"/>
          </reference>
          <reference field="4" count="1" selected="0">
            <x v="50"/>
          </reference>
          <reference field="8" count="1">
            <x v="48"/>
          </reference>
        </references>
      </pivotArea>
    </format>
    <format dxfId="387">
      <pivotArea dataOnly="0" labelOnly="1" outline="0" fieldPosition="0">
        <references count="5">
          <reference field="1" count="0" selected="0"/>
          <reference field="2" count="1" selected="0">
            <x v="5"/>
          </reference>
          <reference field="3" count="1" selected="0">
            <x v="8"/>
          </reference>
          <reference field="4" count="1" selected="0">
            <x v="51"/>
          </reference>
          <reference field="8" count="1">
            <x v="12"/>
          </reference>
        </references>
      </pivotArea>
    </format>
    <format dxfId="386">
      <pivotArea dataOnly="0" labelOnly="1" outline="0" fieldPosition="0">
        <references count="5">
          <reference field="1" count="0" selected="0"/>
          <reference field="2" count="1" selected="0">
            <x v="7"/>
          </reference>
          <reference field="3" count="1" selected="0">
            <x v="10"/>
          </reference>
          <reference field="4" count="1" selected="0">
            <x v="52"/>
          </reference>
          <reference field="8" count="1">
            <x v="25"/>
          </reference>
        </references>
      </pivotArea>
    </format>
    <format dxfId="385">
      <pivotArea dataOnly="0" labelOnly="1" outline="0" fieldPosition="0">
        <references count="5">
          <reference field="1" count="0" selected="0"/>
          <reference field="2" count="1" selected="0">
            <x v="7"/>
          </reference>
          <reference field="3" count="1" selected="0">
            <x v="10"/>
          </reference>
          <reference field="4" count="1" selected="0">
            <x v="53"/>
          </reference>
          <reference field="8" count="1">
            <x v="49"/>
          </reference>
        </references>
      </pivotArea>
    </format>
    <format dxfId="384">
      <pivotArea dataOnly="0" labelOnly="1" outline="0" fieldPosition="0">
        <references count="5">
          <reference field="1" count="0" selected="0"/>
          <reference field="2" count="1" selected="0">
            <x v="13"/>
          </reference>
          <reference field="3" count="1" selected="0">
            <x v="17"/>
          </reference>
          <reference field="4" count="1" selected="0">
            <x v="54"/>
          </reference>
          <reference field="8" count="1">
            <x v="50"/>
          </reference>
        </references>
      </pivotArea>
    </format>
    <format dxfId="383">
      <pivotArea dataOnly="0" labelOnly="1" outline="0" fieldPosition="0">
        <references count="6">
          <reference field="1" count="0" selected="0"/>
          <reference field="2" count="1" selected="0">
            <x v="5"/>
          </reference>
          <reference field="3" count="1" selected="0">
            <x v="8"/>
          </reference>
          <reference field="4" count="1" selected="0">
            <x v="6"/>
          </reference>
          <reference field="8" count="1" selected="0">
            <x v="14"/>
          </reference>
          <reference field="9" count="1">
            <x v="8"/>
          </reference>
        </references>
      </pivotArea>
    </format>
    <format dxfId="382">
      <pivotArea dataOnly="0" labelOnly="1" outline="0" fieldPosition="0">
        <references count="6">
          <reference field="1" count="0" selected="0"/>
          <reference field="2" count="1" selected="0">
            <x v="5"/>
          </reference>
          <reference field="3" count="1" selected="0">
            <x v="8"/>
          </reference>
          <reference field="4" count="1" selected="0">
            <x v="8"/>
          </reference>
          <reference field="8" count="1" selected="0">
            <x v="2"/>
          </reference>
          <reference field="9" count="1">
            <x v="47"/>
          </reference>
        </references>
      </pivotArea>
    </format>
    <format dxfId="381">
      <pivotArea dataOnly="0" labelOnly="1" outline="0" fieldPosition="0">
        <references count="6">
          <reference field="1" count="0" selected="0"/>
          <reference field="2" count="1" selected="0">
            <x v="5"/>
          </reference>
          <reference field="3" count="1" selected="0">
            <x v="8"/>
          </reference>
          <reference field="4" count="1" selected="0">
            <x v="10"/>
          </reference>
          <reference field="8" count="1" selected="0">
            <x v="12"/>
          </reference>
          <reference field="9" count="1">
            <x v="9"/>
          </reference>
        </references>
      </pivotArea>
    </format>
    <format dxfId="380">
      <pivotArea dataOnly="0" labelOnly="1" outline="0" fieldPosition="0">
        <references count="6">
          <reference field="1" count="0" selected="0"/>
          <reference field="2" count="1" selected="0">
            <x v="5"/>
          </reference>
          <reference field="3" count="1" selected="0">
            <x v="8"/>
          </reference>
          <reference field="4" count="1" selected="0">
            <x v="12"/>
          </reference>
          <reference field="8" count="1" selected="0">
            <x v="12"/>
          </reference>
          <reference field="9" count="1">
            <x v="22"/>
          </reference>
        </references>
      </pivotArea>
    </format>
    <format dxfId="379">
      <pivotArea dataOnly="0" labelOnly="1" outline="0" fieldPosition="0">
        <references count="6">
          <reference field="1" count="0" selected="0"/>
          <reference field="2" count="1" selected="0">
            <x v="5"/>
          </reference>
          <reference field="3" count="1" selected="0">
            <x v="8"/>
          </reference>
          <reference field="4" count="1" selected="0">
            <x v="14"/>
          </reference>
          <reference field="8" count="1" selected="0">
            <x v="47"/>
          </reference>
          <reference field="9" count="1">
            <x v="21"/>
          </reference>
        </references>
      </pivotArea>
    </format>
    <format dxfId="378">
      <pivotArea dataOnly="0" labelOnly="1" outline="0" fieldPosition="0">
        <references count="6">
          <reference field="1" count="0" selected="0"/>
          <reference field="2" count="1" selected="0">
            <x v="5"/>
          </reference>
          <reference field="3" count="1" selected="0">
            <x v="8"/>
          </reference>
          <reference field="4" count="1" selected="0">
            <x v="16"/>
          </reference>
          <reference field="8" count="1" selected="0">
            <x v="12"/>
          </reference>
          <reference field="9" count="1">
            <x v="20"/>
          </reference>
        </references>
      </pivotArea>
    </format>
    <format dxfId="377">
      <pivotArea dataOnly="0" labelOnly="1" outline="0" fieldPosition="0">
        <references count="6">
          <reference field="1" count="0" selected="0"/>
          <reference field="2" count="1" selected="0">
            <x v="5"/>
          </reference>
          <reference field="3" count="1" selected="0">
            <x v="8"/>
          </reference>
          <reference field="4" count="1" selected="0">
            <x v="19"/>
          </reference>
          <reference field="8" count="1" selected="0">
            <x v="48"/>
          </reference>
          <reference field="9" count="1">
            <x v="10"/>
          </reference>
        </references>
      </pivotArea>
    </format>
    <format dxfId="376">
      <pivotArea dataOnly="0" labelOnly="1" outline="0" fieldPosition="0">
        <references count="6">
          <reference field="1" count="0" selected="0"/>
          <reference field="2" count="1" selected="0">
            <x v="5"/>
          </reference>
          <reference field="3" count="1" selected="0">
            <x v="8"/>
          </reference>
          <reference field="4" count="1" selected="0">
            <x v="21"/>
          </reference>
          <reference field="8" count="1" selected="0">
            <x v="14"/>
          </reference>
          <reference field="9" count="1">
            <x v="12"/>
          </reference>
        </references>
      </pivotArea>
    </format>
    <format dxfId="375">
      <pivotArea dataOnly="0" labelOnly="1" outline="0" fieldPosition="0">
        <references count="6">
          <reference field="1" count="0" selected="0"/>
          <reference field="2" count="1" selected="0">
            <x v="5"/>
          </reference>
          <reference field="3" count="1" selected="0">
            <x v="8"/>
          </reference>
          <reference field="4" count="1" selected="0">
            <x v="23"/>
          </reference>
          <reference field="8" count="1" selected="0">
            <x v="14"/>
          </reference>
          <reference field="9" count="1">
            <x v="13"/>
          </reference>
        </references>
      </pivotArea>
    </format>
    <format dxfId="374">
      <pivotArea dataOnly="0" labelOnly="1" outline="0" fieldPosition="0">
        <references count="6">
          <reference field="1" count="0" selected="0"/>
          <reference field="2" count="1" selected="0">
            <x v="5"/>
          </reference>
          <reference field="3" count="1" selected="0">
            <x v="8"/>
          </reference>
          <reference field="4" count="1" selected="0">
            <x v="45"/>
          </reference>
          <reference field="8" count="1" selected="0">
            <x v="2"/>
          </reference>
          <reference field="9" count="1">
            <x v="46"/>
          </reference>
        </references>
      </pivotArea>
    </format>
    <format dxfId="373">
      <pivotArea dataOnly="0" labelOnly="1" outline="0" fieldPosition="0">
        <references count="6">
          <reference field="1" count="0" selected="0"/>
          <reference field="2" count="1" selected="0">
            <x v="5"/>
          </reference>
          <reference field="3" count="1" selected="0">
            <x v="8"/>
          </reference>
          <reference field="4" count="1" selected="0">
            <x v="47"/>
          </reference>
          <reference field="8" count="1" selected="0">
            <x v="25"/>
          </reference>
          <reference field="9" count="1">
            <x v="14"/>
          </reference>
        </references>
      </pivotArea>
    </format>
    <format dxfId="372">
      <pivotArea dataOnly="0" labelOnly="1" outline="0" fieldPosition="0">
        <references count="6">
          <reference field="1" count="0" selected="0"/>
          <reference field="2" count="1" selected="0">
            <x v="5"/>
          </reference>
          <reference field="3" count="1" selected="0">
            <x v="8"/>
          </reference>
          <reference field="4" count="1" selected="0">
            <x v="48"/>
          </reference>
          <reference field="8" count="1" selected="0">
            <x v="25"/>
          </reference>
          <reference field="9" count="1">
            <x v="52"/>
          </reference>
        </references>
      </pivotArea>
    </format>
    <format dxfId="371">
      <pivotArea dataOnly="0" labelOnly="1" outline="0" fieldPosition="0">
        <references count="6">
          <reference field="1" count="0" selected="0"/>
          <reference field="2" count="1" selected="0">
            <x v="5"/>
          </reference>
          <reference field="3" count="1" selected="0">
            <x v="8"/>
          </reference>
          <reference field="4" count="1" selected="0">
            <x v="50"/>
          </reference>
          <reference field="8" count="1" selected="0">
            <x v="48"/>
          </reference>
          <reference field="9" count="1">
            <x v="15"/>
          </reference>
        </references>
      </pivotArea>
    </format>
    <format dxfId="370">
      <pivotArea dataOnly="0" labelOnly="1" outline="0" fieldPosition="0">
        <references count="6">
          <reference field="1" count="0" selected="0"/>
          <reference field="2" count="1" selected="0">
            <x v="5"/>
          </reference>
          <reference field="3" count="1" selected="0">
            <x v="8"/>
          </reference>
          <reference field="4" count="1" selected="0">
            <x v="51"/>
          </reference>
          <reference field="8" count="1" selected="0">
            <x v="12"/>
          </reference>
          <reference field="9" count="1">
            <x v="16"/>
          </reference>
        </references>
      </pivotArea>
    </format>
    <format dxfId="369">
      <pivotArea dataOnly="0" labelOnly="1" outline="0" fieldPosition="0">
        <references count="6">
          <reference field="1" count="0" selected="0"/>
          <reference field="2" count="1" selected="0">
            <x v="7"/>
          </reference>
          <reference field="3" count="1" selected="0">
            <x v="10"/>
          </reference>
          <reference field="4" count="1" selected="0">
            <x v="52"/>
          </reference>
          <reference field="8" count="1" selected="0">
            <x v="25"/>
          </reference>
          <reference field="9" count="1">
            <x v="53"/>
          </reference>
        </references>
      </pivotArea>
    </format>
    <format dxfId="368">
      <pivotArea dataOnly="0" labelOnly="1" outline="0" fieldPosition="0">
        <references count="6">
          <reference field="1" count="0" selected="0"/>
          <reference field="2" count="1" selected="0">
            <x v="7"/>
          </reference>
          <reference field="3" count="1" selected="0">
            <x v="10"/>
          </reference>
          <reference field="4" count="1" selected="0">
            <x v="53"/>
          </reference>
          <reference field="8" count="1" selected="0">
            <x v="49"/>
          </reference>
          <reference field="9" count="1">
            <x v="49"/>
          </reference>
        </references>
      </pivotArea>
    </format>
    <format dxfId="367">
      <pivotArea dataOnly="0" labelOnly="1" outline="0" fieldPosition="0">
        <references count="6">
          <reference field="1" count="0" selected="0"/>
          <reference field="2" count="1" selected="0">
            <x v="13"/>
          </reference>
          <reference field="3" count="1" selected="0">
            <x v="17"/>
          </reference>
          <reference field="4" count="1" selected="0">
            <x v="54"/>
          </reference>
          <reference field="8" count="1" selected="0">
            <x v="50"/>
          </reference>
          <reference field="9" count="1">
            <x v="11"/>
          </reference>
        </references>
      </pivotArea>
    </format>
    <format dxfId="366">
      <pivotArea dataOnly="0" labelOnly="1" outline="0" fieldPosition="0">
        <references count="1">
          <reference field="14" count="4">
            <x v="0"/>
            <x v="1"/>
            <x v="2"/>
            <x v="5"/>
          </reference>
        </references>
      </pivotArea>
    </format>
    <format dxfId="365">
      <pivotArea dataOnly="0" labelOnly="1" grandCol="1" outline="0" fieldPosition="0"/>
    </format>
    <format dxfId="364">
      <pivotArea type="all" dataOnly="0" outline="0" fieldPosition="0"/>
    </format>
    <format dxfId="363">
      <pivotArea outline="0" collapsedLevelsAreSubtotals="1" fieldPosition="0"/>
    </format>
    <format dxfId="362">
      <pivotArea type="origin" dataOnly="0" labelOnly="1" outline="0" fieldPosition="0"/>
    </format>
    <format dxfId="361">
      <pivotArea field="14" type="button" dataOnly="0" labelOnly="1" outline="0" axis="axisPage" fieldPosition="2"/>
    </format>
    <format dxfId="360">
      <pivotArea type="topRight" dataOnly="0" labelOnly="1" outline="0" fieldPosition="0"/>
    </format>
    <format dxfId="359">
      <pivotArea field="1" type="button" dataOnly="0" labelOnly="1" outline="0" axis="axisRow" fieldPosition="0"/>
    </format>
    <format dxfId="358">
      <pivotArea field="2" type="button" dataOnly="0" labelOnly="1" outline="0" axis="axisRow" fieldPosition="2"/>
    </format>
    <format dxfId="357">
      <pivotArea field="3" type="button" dataOnly="0" labelOnly="1" outline="0" axis="axisRow" fieldPosition="3"/>
    </format>
    <format dxfId="356">
      <pivotArea field="4" type="button" dataOnly="0" labelOnly="1" outline="0" axis="axisRow" fieldPosition="4"/>
    </format>
    <format dxfId="355">
      <pivotArea field="8" type="button" dataOnly="0" labelOnly="1" outline="0" axis="axisRow" fieldPosition="5"/>
    </format>
    <format dxfId="354">
      <pivotArea field="9" type="button" dataOnly="0" labelOnly="1" outline="0" axis="axisRow" fieldPosition="6"/>
    </format>
    <format dxfId="353">
      <pivotArea dataOnly="0" labelOnly="1" outline="0" fieldPosition="0">
        <references count="1">
          <reference field="1" count="0"/>
        </references>
      </pivotArea>
    </format>
    <format dxfId="352">
      <pivotArea dataOnly="0" labelOnly="1" grandRow="1" outline="0" fieldPosition="0"/>
    </format>
    <format dxfId="351">
      <pivotArea dataOnly="0" labelOnly="1" outline="0" fieldPosition="0">
        <references count="2">
          <reference field="1" count="0" selected="0"/>
          <reference field="2" count="3">
            <x v="5"/>
            <x v="7"/>
            <x v="13"/>
          </reference>
        </references>
      </pivotArea>
    </format>
    <format dxfId="350">
      <pivotArea dataOnly="0" labelOnly="1" outline="0" fieldPosition="0">
        <references count="3">
          <reference field="1" count="0" selected="0"/>
          <reference field="2" count="1" selected="0">
            <x v="5"/>
          </reference>
          <reference field="3" count="1">
            <x v="8"/>
          </reference>
        </references>
      </pivotArea>
    </format>
    <format dxfId="349">
      <pivotArea dataOnly="0" labelOnly="1" outline="0" fieldPosition="0">
        <references count="3">
          <reference field="1" count="0" selected="0"/>
          <reference field="2" count="1" selected="0">
            <x v="7"/>
          </reference>
          <reference field="3" count="1">
            <x v="10"/>
          </reference>
        </references>
      </pivotArea>
    </format>
    <format dxfId="348">
      <pivotArea dataOnly="0" labelOnly="1" outline="0" fieldPosition="0">
        <references count="3">
          <reference field="1" count="0" selected="0"/>
          <reference field="2" count="1" selected="0">
            <x v="13"/>
          </reference>
          <reference field="3" count="1">
            <x v="17"/>
          </reference>
        </references>
      </pivotArea>
    </format>
    <format dxfId="347">
      <pivotArea dataOnly="0" labelOnly="1" outline="0" fieldPosition="0">
        <references count="4">
          <reference field="1" count="0" selected="0"/>
          <reference field="2" count="1" selected="0">
            <x v="5"/>
          </reference>
          <reference field="3" count="1" selected="0">
            <x v="8"/>
          </reference>
          <reference field="4" count="14">
            <x v="6"/>
            <x v="8"/>
            <x v="10"/>
            <x v="12"/>
            <x v="14"/>
            <x v="16"/>
            <x v="19"/>
            <x v="21"/>
            <x v="23"/>
            <x v="45"/>
            <x v="47"/>
            <x v="48"/>
            <x v="50"/>
            <x v="51"/>
          </reference>
        </references>
      </pivotArea>
    </format>
    <format dxfId="346">
      <pivotArea dataOnly="0" labelOnly="1" outline="0" fieldPosition="0">
        <references count="4">
          <reference field="1" count="0" selected="0"/>
          <reference field="2" count="1" selected="0">
            <x v="7"/>
          </reference>
          <reference field="3" count="1" selected="0">
            <x v="10"/>
          </reference>
          <reference field="4" count="2">
            <x v="52"/>
            <x v="53"/>
          </reference>
        </references>
      </pivotArea>
    </format>
    <format dxfId="345">
      <pivotArea dataOnly="0" labelOnly="1" outline="0" fieldPosition="0">
        <references count="4">
          <reference field="1" count="0" selected="0"/>
          <reference field="2" count="1" selected="0">
            <x v="13"/>
          </reference>
          <reference field="3" count="1" selected="0">
            <x v="17"/>
          </reference>
          <reference field="4" count="1">
            <x v="54"/>
          </reference>
        </references>
      </pivotArea>
    </format>
    <format dxfId="344">
      <pivotArea dataOnly="0" labelOnly="1" outline="0" fieldPosition="0">
        <references count="5">
          <reference field="1" count="0" selected="0"/>
          <reference field="2" count="1" selected="0">
            <x v="5"/>
          </reference>
          <reference field="3" count="1" selected="0">
            <x v="8"/>
          </reference>
          <reference field="4" count="1" selected="0">
            <x v="6"/>
          </reference>
          <reference field="8" count="1">
            <x v="14"/>
          </reference>
        </references>
      </pivotArea>
    </format>
    <format dxfId="343">
      <pivotArea dataOnly="0" labelOnly="1" outline="0" fieldPosition="0">
        <references count="5">
          <reference field="1" count="0" selected="0"/>
          <reference field="2" count="1" selected="0">
            <x v="5"/>
          </reference>
          <reference field="3" count="1" selected="0">
            <x v="8"/>
          </reference>
          <reference field="4" count="1" selected="0">
            <x v="8"/>
          </reference>
          <reference field="8" count="1">
            <x v="2"/>
          </reference>
        </references>
      </pivotArea>
    </format>
    <format dxfId="342">
      <pivotArea dataOnly="0" labelOnly="1" outline="0" fieldPosition="0">
        <references count="5">
          <reference field="1" count="0" selected="0"/>
          <reference field="2" count="1" selected="0">
            <x v="5"/>
          </reference>
          <reference field="3" count="1" selected="0">
            <x v="8"/>
          </reference>
          <reference field="4" count="1" selected="0">
            <x v="10"/>
          </reference>
          <reference field="8" count="1">
            <x v="12"/>
          </reference>
        </references>
      </pivotArea>
    </format>
    <format dxfId="341">
      <pivotArea dataOnly="0" labelOnly="1" outline="0" fieldPosition="0">
        <references count="5">
          <reference field="1" count="0" selected="0"/>
          <reference field="2" count="1" selected="0">
            <x v="5"/>
          </reference>
          <reference field="3" count="1" selected="0">
            <x v="8"/>
          </reference>
          <reference field="4" count="1" selected="0">
            <x v="14"/>
          </reference>
          <reference field="8" count="1">
            <x v="47"/>
          </reference>
        </references>
      </pivotArea>
    </format>
    <format dxfId="340">
      <pivotArea dataOnly="0" labelOnly="1" outline="0" fieldPosition="0">
        <references count="5">
          <reference field="1" count="0" selected="0"/>
          <reference field="2" count="1" selected="0">
            <x v="5"/>
          </reference>
          <reference field="3" count="1" selected="0">
            <x v="8"/>
          </reference>
          <reference field="4" count="1" selected="0">
            <x v="16"/>
          </reference>
          <reference field="8" count="1">
            <x v="12"/>
          </reference>
        </references>
      </pivotArea>
    </format>
    <format dxfId="339">
      <pivotArea dataOnly="0" labelOnly="1" outline="0" fieldPosition="0">
        <references count="5">
          <reference field="1" count="0" selected="0"/>
          <reference field="2" count="1" selected="0">
            <x v="5"/>
          </reference>
          <reference field="3" count="1" selected="0">
            <x v="8"/>
          </reference>
          <reference field="4" count="1" selected="0">
            <x v="19"/>
          </reference>
          <reference field="8" count="1">
            <x v="48"/>
          </reference>
        </references>
      </pivotArea>
    </format>
    <format dxfId="338">
      <pivotArea dataOnly="0" labelOnly="1" outline="0" fieldPosition="0">
        <references count="5">
          <reference field="1" count="0" selected="0"/>
          <reference field="2" count="1" selected="0">
            <x v="5"/>
          </reference>
          <reference field="3" count="1" selected="0">
            <x v="8"/>
          </reference>
          <reference field="4" count="1" selected="0">
            <x v="21"/>
          </reference>
          <reference field="8" count="1">
            <x v="14"/>
          </reference>
        </references>
      </pivotArea>
    </format>
    <format dxfId="337">
      <pivotArea dataOnly="0" labelOnly="1" outline="0" fieldPosition="0">
        <references count="5">
          <reference field="1" count="0" selected="0"/>
          <reference field="2" count="1" selected="0">
            <x v="5"/>
          </reference>
          <reference field="3" count="1" selected="0">
            <x v="8"/>
          </reference>
          <reference field="4" count="1" selected="0">
            <x v="45"/>
          </reference>
          <reference field="8" count="1">
            <x v="2"/>
          </reference>
        </references>
      </pivotArea>
    </format>
    <format dxfId="336">
      <pivotArea dataOnly="0" labelOnly="1" outline="0" fieldPosition="0">
        <references count="5">
          <reference field="1" count="0" selected="0"/>
          <reference field="2" count="1" selected="0">
            <x v="5"/>
          </reference>
          <reference field="3" count="1" selected="0">
            <x v="8"/>
          </reference>
          <reference field="4" count="1" selected="0">
            <x v="47"/>
          </reference>
          <reference field="8" count="1">
            <x v="25"/>
          </reference>
        </references>
      </pivotArea>
    </format>
    <format dxfId="335">
      <pivotArea dataOnly="0" labelOnly="1" outline="0" fieldPosition="0">
        <references count="5">
          <reference field="1" count="0" selected="0"/>
          <reference field="2" count="1" selected="0">
            <x v="5"/>
          </reference>
          <reference field="3" count="1" selected="0">
            <x v="8"/>
          </reference>
          <reference field="4" count="1" selected="0">
            <x v="50"/>
          </reference>
          <reference field="8" count="1">
            <x v="48"/>
          </reference>
        </references>
      </pivotArea>
    </format>
    <format dxfId="334">
      <pivotArea dataOnly="0" labelOnly="1" outline="0" fieldPosition="0">
        <references count="5">
          <reference field="1" count="0" selected="0"/>
          <reference field="2" count="1" selected="0">
            <x v="5"/>
          </reference>
          <reference field="3" count="1" selected="0">
            <x v="8"/>
          </reference>
          <reference field="4" count="1" selected="0">
            <x v="51"/>
          </reference>
          <reference field="8" count="1">
            <x v="12"/>
          </reference>
        </references>
      </pivotArea>
    </format>
    <format dxfId="333">
      <pivotArea dataOnly="0" labelOnly="1" outline="0" fieldPosition="0">
        <references count="5">
          <reference field="1" count="0" selected="0"/>
          <reference field="2" count="1" selected="0">
            <x v="7"/>
          </reference>
          <reference field="3" count="1" selected="0">
            <x v="10"/>
          </reference>
          <reference field="4" count="1" selected="0">
            <x v="52"/>
          </reference>
          <reference field="8" count="1">
            <x v="25"/>
          </reference>
        </references>
      </pivotArea>
    </format>
    <format dxfId="332">
      <pivotArea dataOnly="0" labelOnly="1" outline="0" fieldPosition="0">
        <references count="5">
          <reference field="1" count="0" selected="0"/>
          <reference field="2" count="1" selected="0">
            <x v="7"/>
          </reference>
          <reference field="3" count="1" selected="0">
            <x v="10"/>
          </reference>
          <reference field="4" count="1" selected="0">
            <x v="53"/>
          </reference>
          <reference field="8" count="1">
            <x v="49"/>
          </reference>
        </references>
      </pivotArea>
    </format>
    <format dxfId="331">
      <pivotArea dataOnly="0" labelOnly="1" outline="0" fieldPosition="0">
        <references count="5">
          <reference field="1" count="0" selected="0"/>
          <reference field="2" count="1" selected="0">
            <x v="13"/>
          </reference>
          <reference field="3" count="1" selected="0">
            <x v="17"/>
          </reference>
          <reference field="4" count="1" selected="0">
            <x v="54"/>
          </reference>
          <reference field="8" count="1">
            <x v="50"/>
          </reference>
        </references>
      </pivotArea>
    </format>
    <format dxfId="330">
      <pivotArea dataOnly="0" labelOnly="1" outline="0" fieldPosition="0">
        <references count="6">
          <reference field="1" count="0" selected="0"/>
          <reference field="2" count="1" selected="0">
            <x v="5"/>
          </reference>
          <reference field="3" count="1" selected="0">
            <x v="8"/>
          </reference>
          <reference field="4" count="1" selected="0">
            <x v="6"/>
          </reference>
          <reference field="8" count="1" selected="0">
            <x v="14"/>
          </reference>
          <reference field="9" count="1">
            <x v="8"/>
          </reference>
        </references>
      </pivotArea>
    </format>
    <format dxfId="329">
      <pivotArea dataOnly="0" labelOnly="1" outline="0" fieldPosition="0">
        <references count="6">
          <reference field="1" count="0" selected="0"/>
          <reference field="2" count="1" selected="0">
            <x v="5"/>
          </reference>
          <reference field="3" count="1" selected="0">
            <x v="8"/>
          </reference>
          <reference field="4" count="1" selected="0">
            <x v="8"/>
          </reference>
          <reference field="8" count="1" selected="0">
            <x v="2"/>
          </reference>
          <reference field="9" count="1">
            <x v="47"/>
          </reference>
        </references>
      </pivotArea>
    </format>
    <format dxfId="328">
      <pivotArea dataOnly="0" labelOnly="1" outline="0" fieldPosition="0">
        <references count="6">
          <reference field="1" count="0" selected="0"/>
          <reference field="2" count="1" selected="0">
            <x v="5"/>
          </reference>
          <reference field="3" count="1" selected="0">
            <x v="8"/>
          </reference>
          <reference field="4" count="1" selected="0">
            <x v="10"/>
          </reference>
          <reference field="8" count="1" selected="0">
            <x v="12"/>
          </reference>
          <reference field="9" count="1">
            <x v="9"/>
          </reference>
        </references>
      </pivotArea>
    </format>
    <format dxfId="327">
      <pivotArea dataOnly="0" labelOnly="1" outline="0" fieldPosition="0">
        <references count="6">
          <reference field="1" count="0" selected="0"/>
          <reference field="2" count="1" selected="0">
            <x v="5"/>
          </reference>
          <reference field="3" count="1" selected="0">
            <x v="8"/>
          </reference>
          <reference field="4" count="1" selected="0">
            <x v="12"/>
          </reference>
          <reference field="8" count="1" selected="0">
            <x v="12"/>
          </reference>
          <reference field="9" count="1">
            <x v="22"/>
          </reference>
        </references>
      </pivotArea>
    </format>
    <format dxfId="326">
      <pivotArea dataOnly="0" labelOnly="1" outline="0" fieldPosition="0">
        <references count="6">
          <reference field="1" count="0" selected="0"/>
          <reference field="2" count="1" selected="0">
            <x v="5"/>
          </reference>
          <reference field="3" count="1" selected="0">
            <x v="8"/>
          </reference>
          <reference field="4" count="1" selected="0">
            <x v="14"/>
          </reference>
          <reference field="8" count="1" selected="0">
            <x v="47"/>
          </reference>
          <reference field="9" count="1">
            <x v="21"/>
          </reference>
        </references>
      </pivotArea>
    </format>
    <format dxfId="325">
      <pivotArea dataOnly="0" labelOnly="1" outline="0" fieldPosition="0">
        <references count="6">
          <reference field="1" count="0" selected="0"/>
          <reference field="2" count="1" selected="0">
            <x v="5"/>
          </reference>
          <reference field="3" count="1" selected="0">
            <x v="8"/>
          </reference>
          <reference field="4" count="1" selected="0">
            <x v="16"/>
          </reference>
          <reference field="8" count="1" selected="0">
            <x v="12"/>
          </reference>
          <reference field="9" count="1">
            <x v="20"/>
          </reference>
        </references>
      </pivotArea>
    </format>
    <format dxfId="324">
      <pivotArea dataOnly="0" labelOnly="1" outline="0" fieldPosition="0">
        <references count="6">
          <reference field="1" count="0" selected="0"/>
          <reference field="2" count="1" selected="0">
            <x v="5"/>
          </reference>
          <reference field="3" count="1" selected="0">
            <x v="8"/>
          </reference>
          <reference field="4" count="1" selected="0">
            <x v="19"/>
          </reference>
          <reference field="8" count="1" selected="0">
            <x v="48"/>
          </reference>
          <reference field="9" count="1">
            <x v="10"/>
          </reference>
        </references>
      </pivotArea>
    </format>
    <format dxfId="323">
      <pivotArea dataOnly="0" labelOnly="1" outline="0" fieldPosition="0">
        <references count="6">
          <reference field="1" count="0" selected="0"/>
          <reference field="2" count="1" selected="0">
            <x v="5"/>
          </reference>
          <reference field="3" count="1" selected="0">
            <x v="8"/>
          </reference>
          <reference field="4" count="1" selected="0">
            <x v="21"/>
          </reference>
          <reference field="8" count="1" selected="0">
            <x v="14"/>
          </reference>
          <reference field="9" count="1">
            <x v="12"/>
          </reference>
        </references>
      </pivotArea>
    </format>
    <format dxfId="322">
      <pivotArea dataOnly="0" labelOnly="1" outline="0" fieldPosition="0">
        <references count="6">
          <reference field="1" count="0" selected="0"/>
          <reference field="2" count="1" selected="0">
            <x v="5"/>
          </reference>
          <reference field="3" count="1" selected="0">
            <x v="8"/>
          </reference>
          <reference field="4" count="1" selected="0">
            <x v="23"/>
          </reference>
          <reference field="8" count="1" selected="0">
            <x v="14"/>
          </reference>
          <reference field="9" count="1">
            <x v="13"/>
          </reference>
        </references>
      </pivotArea>
    </format>
    <format dxfId="321">
      <pivotArea dataOnly="0" labelOnly="1" outline="0" fieldPosition="0">
        <references count="6">
          <reference field="1" count="0" selected="0"/>
          <reference field="2" count="1" selected="0">
            <x v="5"/>
          </reference>
          <reference field="3" count="1" selected="0">
            <x v="8"/>
          </reference>
          <reference field="4" count="1" selected="0">
            <x v="45"/>
          </reference>
          <reference field="8" count="1" selected="0">
            <x v="2"/>
          </reference>
          <reference field="9" count="1">
            <x v="46"/>
          </reference>
        </references>
      </pivotArea>
    </format>
    <format dxfId="320">
      <pivotArea dataOnly="0" labelOnly="1" outline="0" fieldPosition="0">
        <references count="6">
          <reference field="1" count="0" selected="0"/>
          <reference field="2" count="1" selected="0">
            <x v="5"/>
          </reference>
          <reference field="3" count="1" selected="0">
            <x v="8"/>
          </reference>
          <reference field="4" count="1" selected="0">
            <x v="47"/>
          </reference>
          <reference field="8" count="1" selected="0">
            <x v="25"/>
          </reference>
          <reference field="9" count="1">
            <x v="14"/>
          </reference>
        </references>
      </pivotArea>
    </format>
    <format dxfId="319">
      <pivotArea dataOnly="0" labelOnly="1" outline="0" fieldPosition="0">
        <references count="6">
          <reference field="1" count="0" selected="0"/>
          <reference field="2" count="1" selected="0">
            <x v="5"/>
          </reference>
          <reference field="3" count="1" selected="0">
            <x v="8"/>
          </reference>
          <reference field="4" count="1" selected="0">
            <x v="48"/>
          </reference>
          <reference field="8" count="1" selected="0">
            <x v="25"/>
          </reference>
          <reference field="9" count="1">
            <x v="52"/>
          </reference>
        </references>
      </pivotArea>
    </format>
    <format dxfId="318">
      <pivotArea dataOnly="0" labelOnly="1" outline="0" fieldPosition="0">
        <references count="6">
          <reference field="1" count="0" selected="0"/>
          <reference field="2" count="1" selected="0">
            <x v="5"/>
          </reference>
          <reference field="3" count="1" selected="0">
            <x v="8"/>
          </reference>
          <reference field="4" count="1" selected="0">
            <x v="50"/>
          </reference>
          <reference field="8" count="1" selected="0">
            <x v="48"/>
          </reference>
          <reference field="9" count="1">
            <x v="15"/>
          </reference>
        </references>
      </pivotArea>
    </format>
    <format dxfId="317">
      <pivotArea dataOnly="0" labelOnly="1" outline="0" fieldPosition="0">
        <references count="6">
          <reference field="1" count="0" selected="0"/>
          <reference field="2" count="1" selected="0">
            <x v="5"/>
          </reference>
          <reference field="3" count="1" selected="0">
            <x v="8"/>
          </reference>
          <reference field="4" count="1" selected="0">
            <x v="51"/>
          </reference>
          <reference field="8" count="1" selected="0">
            <x v="12"/>
          </reference>
          <reference field="9" count="1">
            <x v="16"/>
          </reference>
        </references>
      </pivotArea>
    </format>
    <format dxfId="316">
      <pivotArea dataOnly="0" labelOnly="1" outline="0" fieldPosition="0">
        <references count="6">
          <reference field="1" count="0" selected="0"/>
          <reference field="2" count="1" selected="0">
            <x v="7"/>
          </reference>
          <reference field="3" count="1" selected="0">
            <x v="10"/>
          </reference>
          <reference field="4" count="1" selected="0">
            <x v="52"/>
          </reference>
          <reference field="8" count="1" selected="0">
            <x v="25"/>
          </reference>
          <reference field="9" count="1">
            <x v="53"/>
          </reference>
        </references>
      </pivotArea>
    </format>
    <format dxfId="315">
      <pivotArea dataOnly="0" labelOnly="1" outline="0" fieldPosition="0">
        <references count="6">
          <reference field="1" count="0" selected="0"/>
          <reference field="2" count="1" selected="0">
            <x v="7"/>
          </reference>
          <reference field="3" count="1" selected="0">
            <x v="10"/>
          </reference>
          <reference field="4" count="1" selected="0">
            <x v="53"/>
          </reference>
          <reference field="8" count="1" selected="0">
            <x v="49"/>
          </reference>
          <reference field="9" count="1">
            <x v="49"/>
          </reference>
        </references>
      </pivotArea>
    </format>
    <format dxfId="314">
      <pivotArea dataOnly="0" labelOnly="1" outline="0" fieldPosition="0">
        <references count="6">
          <reference field="1" count="0" selected="0"/>
          <reference field="2" count="1" selected="0">
            <x v="13"/>
          </reference>
          <reference field="3" count="1" selected="0">
            <x v="17"/>
          </reference>
          <reference field="4" count="1" selected="0">
            <x v="54"/>
          </reference>
          <reference field="8" count="1" selected="0">
            <x v="50"/>
          </reference>
          <reference field="9" count="1">
            <x v="11"/>
          </reference>
        </references>
      </pivotArea>
    </format>
    <format dxfId="313">
      <pivotArea dataOnly="0" labelOnly="1" outline="0" fieldPosition="0">
        <references count="1">
          <reference field="14" count="4">
            <x v="0"/>
            <x v="1"/>
            <x v="2"/>
            <x v="5"/>
          </reference>
        </references>
      </pivotArea>
    </format>
    <format dxfId="312">
      <pivotArea dataOnly="0" labelOnly="1" grandCol="1" outline="0" fieldPosition="0"/>
    </format>
    <format dxfId="311">
      <pivotArea dataOnly="0" labelOnly="1" outline="0" fieldPosition="0">
        <references count="7">
          <reference field="0" count="1" selected="0">
            <x v="1"/>
          </reference>
          <reference field="1" count="1" selected="0">
            <x v="3"/>
          </reference>
          <reference field="2" count="1" selected="0">
            <x v="5"/>
          </reference>
          <reference field="3" count="1" selected="0">
            <x v="8"/>
          </reference>
          <reference field="4" count="1" selected="0">
            <x v="47"/>
          </reference>
          <reference field="8" count="1" selected="0">
            <x v="25"/>
          </reference>
          <reference field="9" count="1">
            <x v="14"/>
          </reference>
        </references>
      </pivotArea>
    </format>
    <format dxfId="310">
      <pivotArea dataOnly="0" labelOnly="1" outline="0" fieldPosition="0">
        <references count="7">
          <reference field="0" count="1" selected="0">
            <x v="1"/>
          </reference>
          <reference field="1" count="1" selected="0">
            <x v="3"/>
          </reference>
          <reference field="2" count="1" selected="0">
            <x v="5"/>
          </reference>
          <reference field="3" count="1" selected="0">
            <x v="8"/>
          </reference>
          <reference field="4" count="1" selected="0">
            <x v="14"/>
          </reference>
          <reference field="8" count="1" selected="0">
            <x v="47"/>
          </reference>
          <reference field="9" count="1">
            <x v="21"/>
          </reference>
        </references>
      </pivotArea>
    </format>
    <format dxfId="309">
      <pivotArea dataOnly="0" labelOnly="1" outline="0" fieldPosition="0">
        <references count="7">
          <reference field="0" count="1" selected="0">
            <x v="1"/>
          </reference>
          <reference field="1" count="1" selected="0">
            <x v="2"/>
          </reference>
          <reference field="2" count="1" selected="0">
            <x v="9"/>
          </reference>
          <reference field="3" count="1" selected="0">
            <x v="21"/>
          </reference>
          <reference field="4" count="1" selected="0">
            <x v="62"/>
          </reference>
          <reference field="8" count="1" selected="0">
            <x v="2"/>
          </reference>
          <reference field="9" count="1">
            <x v="1"/>
          </reference>
        </references>
      </pivotArea>
    </format>
    <format dxfId="308">
      <pivotArea dataOnly="0" labelOnly="1" outline="0" fieldPosition="0">
        <references count="7">
          <reference field="0" count="1" selected="0">
            <x v="1"/>
          </reference>
          <reference field="1" count="1" selected="0">
            <x v="3"/>
          </reference>
          <reference field="2" count="1" selected="0">
            <x v="5"/>
          </reference>
          <reference field="3" count="1" selected="0">
            <x v="8"/>
          </reference>
          <reference field="4" count="1" selected="0">
            <x v="6"/>
          </reference>
          <reference field="8" count="1" selected="0">
            <x v="14"/>
          </reference>
          <reference field="9" count="1">
            <x v="8"/>
          </reference>
        </references>
      </pivotArea>
    </format>
    <format dxfId="307">
      <pivotArea dataOnly="0" labelOnly="1" grandRow="1" outline="0" offset="IV256" fieldPosition="0"/>
    </format>
    <format dxfId="306">
      <pivotArea dataOnly="0" labelOnly="1" outline="0" fieldPosition="0">
        <references count="7">
          <reference field="0" count="1" selected="0">
            <x v="1"/>
          </reference>
          <reference field="1" count="1" selected="0">
            <x v="10"/>
          </reference>
          <reference field="2" count="1" selected="0">
            <x v="17"/>
          </reference>
          <reference field="3" count="1" selected="0">
            <x v="7"/>
          </reference>
          <reference field="4" count="1" selected="0">
            <x v="41"/>
          </reference>
          <reference field="8" count="1" selected="0">
            <x v="55"/>
          </reference>
          <reference field="9" count="1">
            <x v="50"/>
          </reference>
        </references>
      </pivotArea>
    </format>
    <format dxfId="305">
      <pivotArea dataOnly="0" labelOnly="1" outline="0" fieldPosition="0">
        <references count="7">
          <reference field="0" count="1" selected="0">
            <x v="1"/>
          </reference>
          <reference field="1" count="1" selected="0">
            <x v="10"/>
          </reference>
          <reference field="2" count="1" selected="0">
            <x v="17"/>
          </reference>
          <reference field="3" count="1" selected="0">
            <x v="7"/>
          </reference>
          <reference field="4" count="1" selected="0">
            <x v="96"/>
          </reference>
          <reference field="8" count="1" selected="0">
            <x v="55"/>
          </reference>
          <reference field="9" count="1">
            <x v="5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EFA4A7-D9D3-F840-8910-B5DAE7B4C664}" name="TablaDinámica2" cacheId="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O46:Q55" firstHeaderRow="1" firstDataRow="2" firstDataCol="1" rowPageCount="5" colPageCount="1"/>
  <pivotFields count="60">
    <pivotField axis="axisPage" compact="0" outline="0" multipleItemSelectionAllowed="1" showAll="0" defaultSubtotal="0">
      <items count="8">
        <item h="1" m="1" x="4"/>
        <item x="0"/>
        <item h="1" x="1"/>
        <item h="1" m="1" x="6"/>
        <item h="1" m="1" x="5"/>
        <item h="1" m="1" x="7"/>
        <item h="1" x="2"/>
        <item h="1" x="3"/>
      </items>
    </pivotField>
    <pivotField axis="axisRow" compact="0" outline="0" showAll="0" defaultSubtotal="0">
      <items count="18">
        <item m="1" x="13"/>
        <item x="0"/>
        <item x="1"/>
        <item x="2"/>
        <item x="3"/>
        <item x="4"/>
        <item x="5"/>
        <item x="6"/>
        <item m="1" x="16"/>
        <item x="7"/>
        <item x="8"/>
        <item m="1" x="14"/>
        <item m="1" x="17"/>
        <item x="11"/>
        <item m="1" x="15"/>
        <item x="9"/>
        <item x="10"/>
        <item x="12"/>
      </items>
    </pivotField>
    <pivotField axis="axisPage" compact="0" outline="0" showAll="0" defaultSubtotal="0">
      <items count="32">
        <item x="9"/>
        <item m="1" x="31"/>
        <item x="15"/>
        <item x="17"/>
        <item x="18"/>
        <item x="2"/>
        <item x="16"/>
        <item x="3"/>
        <item m="1" x="30"/>
        <item x="1"/>
        <item x="6"/>
        <item x="10"/>
        <item x="11"/>
        <item x="4"/>
        <item x="5"/>
        <item x="19"/>
        <item x="14"/>
        <item x="12"/>
        <item x="0"/>
        <item x="8"/>
        <item x="7"/>
        <item x="13"/>
        <item x="20"/>
        <item x="26"/>
        <item x="27"/>
        <item x="28"/>
        <item x="21"/>
        <item x="22"/>
        <item x="23"/>
        <item x="24"/>
        <item x="25"/>
        <item x="29"/>
      </items>
    </pivotField>
    <pivotField compact="0" outline="0" showAll="0" defaultSubtotal="0"/>
    <pivotField axis="axisPage" compact="0" outline="0" showAll="0" defaultSubtotal="0">
      <items count="193">
        <item x="73"/>
        <item x="11"/>
        <item x="6"/>
        <item x="7"/>
        <item x="20"/>
        <item x="5"/>
        <item m="1" x="146"/>
        <item x="8"/>
        <item x="10"/>
        <item x="12"/>
        <item x="46"/>
        <item x="75"/>
        <item x="31"/>
        <item x="62"/>
        <item m="1" x="140"/>
        <item m="1" x="191"/>
        <item m="1" x="150"/>
        <item m="1" x="148"/>
        <item x="0"/>
        <item x="2"/>
        <item x="55"/>
        <item m="1" x="179"/>
        <item x="13"/>
        <item x="4"/>
        <item x="14"/>
        <item x="15"/>
        <item x="16"/>
        <item x="17"/>
        <item x="18"/>
        <item m="1" x="147"/>
        <item x="68"/>
        <item x="65"/>
        <item m="1" x="151"/>
        <item x="50"/>
        <item m="1" x="185"/>
        <item m="1" x="145"/>
        <item x="32"/>
        <item x="3"/>
        <item m="1" x="192"/>
        <item m="1" x="118"/>
        <item m="1" x="141"/>
        <item x="76"/>
        <item x="44"/>
        <item m="1" x="180"/>
        <item x="67"/>
        <item x="64"/>
        <item x="66"/>
        <item x="63"/>
        <item m="1" x="181"/>
        <item x="101"/>
        <item m="1" x="119"/>
        <item m="1" x="142"/>
        <item x="45"/>
        <item x="77"/>
        <item m="1" x="152"/>
        <item x="47"/>
        <item m="1" x="164"/>
        <item x="29"/>
        <item m="1" x="188"/>
        <item x="48"/>
        <item x="30"/>
        <item x="102"/>
        <item m="1" x="143"/>
        <item m="1" x="158"/>
        <item m="1" x="144"/>
        <item m="1" x="120"/>
        <item m="1" x="138"/>
        <item m="1" x="162"/>
        <item x="74"/>
        <item m="1" x="182"/>
        <item m="1" x="183"/>
        <item x="51"/>
        <item x="103"/>
        <item m="1" x="189"/>
        <item m="1" x="175"/>
        <item m="1" x="161"/>
        <item m="1" x="159"/>
        <item x="104"/>
        <item m="1" x="163"/>
        <item m="1" x="184"/>
        <item m="1" x="174"/>
        <item m="1" x="178"/>
        <item m="1" x="173"/>
        <item m="1" x="160"/>
        <item m="1" x="156"/>
        <item m="1" x="169"/>
        <item m="1" x="172"/>
        <item m="1" x="166"/>
        <item m="1" x="171"/>
        <item m="1" x="121"/>
        <item m="1" x="116"/>
        <item m="1" x="114"/>
        <item m="1" x="115"/>
        <item m="1" x="126"/>
        <item m="1" x="139"/>
        <item m="1" x="127"/>
        <item m="1" x="117"/>
        <item x="25"/>
        <item x="26"/>
        <item x="27"/>
        <item x="28"/>
        <item x="23"/>
        <item m="1" x="190"/>
        <item m="1" x="187"/>
        <item m="1" x="186"/>
        <item x="24"/>
        <item m="1" x="149"/>
        <item m="1" x="131"/>
        <item m="1" x="132"/>
        <item m="1" x="135"/>
        <item x="85"/>
        <item x="86"/>
        <item m="1" x="137"/>
        <item x="88"/>
        <item m="1" x="176"/>
        <item m="1" x="122"/>
        <item m="1" x="170"/>
        <item m="1" x="167"/>
        <item m="1" x="177"/>
        <item x="35"/>
        <item m="1" x="123"/>
        <item m="1" x="125"/>
        <item x="79"/>
        <item x="83"/>
        <item x="78"/>
        <item x="81"/>
        <item x="80"/>
        <item x="82"/>
        <item m="1" x="165"/>
        <item m="1" x="168"/>
        <item m="1" x="124"/>
        <item x="40"/>
        <item x="41"/>
        <item m="1" x="153"/>
        <item m="1" x="154"/>
        <item m="1" x="155"/>
        <item m="1" x="157"/>
        <item m="1" x="128"/>
        <item m="1" x="129"/>
        <item m="1" x="130"/>
        <item m="1" x="133"/>
        <item m="1" x="134"/>
        <item x="49"/>
        <item x="52"/>
        <item x="1"/>
        <item x="9"/>
        <item x="19"/>
        <item x="21"/>
        <item x="22"/>
        <item x="33"/>
        <item x="36"/>
        <item x="34"/>
        <item x="42"/>
        <item x="38"/>
        <item x="39"/>
        <item x="43"/>
        <item x="37"/>
        <item m="1" x="136"/>
        <item x="53"/>
        <item x="54"/>
        <item x="56"/>
        <item x="57"/>
        <item x="58"/>
        <item x="59"/>
        <item x="60"/>
        <item x="61"/>
        <item x="69"/>
        <item x="70"/>
        <item x="71"/>
        <item x="72"/>
        <item x="84"/>
        <item x="87"/>
        <item x="89"/>
        <item x="90"/>
        <item x="91"/>
        <item x="92"/>
        <item x="93"/>
        <item x="94"/>
        <item x="95"/>
        <item x="96"/>
        <item x="97"/>
        <item x="98"/>
        <item x="99"/>
        <item x="100"/>
        <item x="105"/>
        <item x="106"/>
        <item x="107"/>
        <item x="108"/>
        <item x="109"/>
        <item x="110"/>
        <item x="111"/>
        <item x="112"/>
        <item x="113"/>
      </items>
    </pivotField>
    <pivotField compact="0" outline="0" showAll="0" defaultSubtotal="0"/>
    <pivotField compact="0" outline="0" showAll="0" defaultSubtotal="0"/>
    <pivotField dataField="1" compact="0" outline="0" showAll="0" defaultSubtotal="0"/>
    <pivotField compact="0" outline="0" showAll="0" defaultSubtotal="0"/>
    <pivotField axis="axisPage" compact="0" outline="0" showAll="0" defaultSubtotal="0">
      <items count="72">
        <item x="2"/>
        <item x="3"/>
        <item m="1" x="67"/>
        <item m="1" x="66"/>
        <item m="1" x="68"/>
        <item m="1" x="65"/>
        <item x="31"/>
        <item x="32"/>
        <item x="11"/>
        <item x="7"/>
        <item x="8"/>
        <item x="19"/>
        <item x="10"/>
        <item x="12"/>
        <item x="4"/>
        <item x="15"/>
        <item x="16"/>
        <item x="60"/>
        <item x="59"/>
        <item x="58"/>
        <item x="9"/>
        <item x="5"/>
        <item x="20"/>
        <item m="1" x="64"/>
        <item x="43"/>
        <item x="0"/>
        <item x="50"/>
        <item x="30"/>
        <item x="1"/>
        <item x="40"/>
        <item x="33"/>
        <item x="53"/>
        <item x="55"/>
        <item x="54"/>
        <item x="52"/>
        <item x="36"/>
        <item x="44"/>
        <item m="1" x="69"/>
        <item x="41"/>
        <item x="25"/>
        <item x="26"/>
        <item x="21"/>
        <item x="23"/>
        <item x="22"/>
        <item x="24"/>
        <item m="1" x="71"/>
        <item x="13"/>
        <item x="6"/>
        <item x="57"/>
        <item x="18"/>
        <item x="45"/>
        <item x="46"/>
        <item x="14"/>
        <item x="17"/>
        <item x="28"/>
        <item x="27"/>
        <item x="34"/>
        <item x="39"/>
        <item m="1" x="70"/>
        <item x="56"/>
        <item x="35"/>
        <item x="37"/>
        <item x="48"/>
        <item x="49"/>
        <item x="47"/>
        <item x="51"/>
        <item x="42"/>
        <item x="38"/>
        <item x="29"/>
        <item x="62"/>
        <item x="61"/>
        <item x="63"/>
      </items>
    </pivotField>
    <pivotField compact="0" outline="0" showAll="0" defaultSubtotal="0"/>
    <pivotField axis="axisPage" compact="0" outline="0" multipleItemSelectionAllowed="1" showAll="0" defaultSubtotal="0">
      <items count="13">
        <item h="1" m="1" x="11"/>
        <item h="1" m="1" x="12"/>
        <item x="1"/>
        <item x="2"/>
        <item h="1" x="4"/>
        <item h="1" x="3"/>
        <item h="1" x="5"/>
        <item h="1" m="1" x="10"/>
        <item h="1" x="7"/>
        <item h="1" m="1" x="9"/>
        <item h="1" x="0"/>
        <item h="1" x="6"/>
        <item h="1" x="8"/>
      </items>
    </pivotField>
    <pivotField axis="axisCol" compact="0" outline="0" showAll="0" defaultSubtotal="0">
      <items count="6">
        <item x="0"/>
        <item x="2"/>
        <item m="1" x="4"/>
        <item x="3"/>
        <item m="1" x="5"/>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
  </rowFields>
  <rowItems count="8">
    <i>
      <x v="2"/>
    </i>
    <i>
      <x v="3"/>
    </i>
    <i>
      <x v="4"/>
    </i>
    <i>
      <x v="5"/>
    </i>
    <i>
      <x v="7"/>
    </i>
    <i>
      <x v="9"/>
    </i>
    <i>
      <x v="10"/>
    </i>
    <i t="grand">
      <x/>
    </i>
  </rowItems>
  <colFields count="1">
    <field x="12"/>
  </colFields>
  <colItems count="2">
    <i>
      <x/>
    </i>
    <i t="grand">
      <x/>
    </i>
  </colItems>
  <pageFields count="5">
    <pageField fld="0" hier="-1"/>
    <pageField fld="4" hier="-1"/>
    <pageField fld="2" hier="-1"/>
    <pageField fld="11" hier="-1"/>
    <pageField fld="9" hier="-1"/>
  </pageFields>
  <dataFields count="1">
    <dataField name="Suma de Valor Contrato" fld="7" baseField="1" baseItem="3"/>
  </dataFields>
  <formats count="50">
    <format dxfId="850">
      <pivotArea outline="0" collapsedLevelsAreSubtotals="1" fieldPosition="0"/>
    </format>
    <format dxfId="849">
      <pivotArea field="2" type="button" dataOnly="0" labelOnly="1" outline="0" axis="axisPage" fieldPosition="2"/>
    </format>
    <format dxfId="848">
      <pivotArea dataOnly="0" labelOnly="1" fieldPosition="0">
        <references count="1">
          <reference field="2" count="9">
            <x v="5"/>
            <x v="7"/>
            <x v="9"/>
            <x v="10"/>
            <x v="11"/>
            <x v="12"/>
            <x v="13"/>
            <x v="14"/>
            <x v="17"/>
          </reference>
        </references>
      </pivotArea>
    </format>
    <format dxfId="847">
      <pivotArea dataOnly="0" labelOnly="1" grandRow="1" outline="0" fieldPosition="0"/>
    </format>
    <format dxfId="846">
      <pivotArea dataOnly="0" labelOnly="1" fieldPosition="0">
        <references count="1">
          <reference field="11" count="0"/>
        </references>
      </pivotArea>
    </format>
    <format dxfId="845">
      <pivotArea dataOnly="0" labelOnly="1" grandCol="1" outline="0" fieldPosition="0"/>
    </format>
    <format dxfId="844">
      <pivotArea outline="0" collapsedLevelsAreSubtotals="1" fieldPosition="0"/>
    </format>
    <format dxfId="843">
      <pivotArea field="2" type="button" dataOnly="0" labelOnly="1" outline="0" axis="axisPage" fieldPosition="2"/>
    </format>
    <format dxfId="842">
      <pivotArea dataOnly="0" labelOnly="1" fieldPosition="0">
        <references count="1">
          <reference field="2" count="9">
            <x v="5"/>
            <x v="7"/>
            <x v="9"/>
            <x v="10"/>
            <x v="11"/>
            <x v="12"/>
            <x v="13"/>
            <x v="14"/>
            <x v="17"/>
          </reference>
        </references>
      </pivotArea>
    </format>
    <format dxfId="841">
      <pivotArea dataOnly="0" labelOnly="1" grandRow="1" outline="0" fieldPosition="0"/>
    </format>
    <format dxfId="840">
      <pivotArea dataOnly="0" labelOnly="1" fieldPosition="0">
        <references count="1">
          <reference field="11" count="0"/>
        </references>
      </pivotArea>
    </format>
    <format dxfId="839">
      <pivotArea dataOnly="0" labelOnly="1" grandCol="1" outline="0" fieldPosition="0"/>
    </format>
    <format dxfId="838">
      <pivotArea dataOnly="0" labelOnly="1" outline="0" fieldPosition="0">
        <references count="1">
          <reference field="4" count="0"/>
        </references>
      </pivotArea>
    </format>
    <format dxfId="837">
      <pivotArea dataOnly="0" labelOnly="1" outline="0" fieldPosition="0">
        <references count="1">
          <reference field="4" count="0"/>
        </references>
      </pivotArea>
    </format>
    <format dxfId="836">
      <pivotArea outline="0" collapsedLevelsAreSubtotals="1" fieldPosition="0"/>
    </format>
    <format dxfId="835">
      <pivotArea type="all" dataOnly="0" outline="0" fieldPosition="0"/>
    </format>
    <format dxfId="834">
      <pivotArea outline="0" collapsedLevelsAreSubtotals="1" fieldPosition="0"/>
    </format>
    <format dxfId="833">
      <pivotArea field="11" type="button" dataOnly="0" labelOnly="1" outline="0" axis="axisPage" fieldPosition="3"/>
    </format>
    <format dxfId="832">
      <pivotArea field="2" type="button" dataOnly="0" labelOnly="1" outline="0" axis="axisPage" fieldPosition="2"/>
    </format>
    <format dxfId="831">
      <pivotArea dataOnly="0" labelOnly="1" outline="0" fieldPosition="0">
        <references count="1">
          <reference field="2" count="9">
            <x v="5"/>
            <x v="7"/>
            <x v="9"/>
            <x v="10"/>
            <x v="11"/>
            <x v="12"/>
            <x v="13"/>
            <x v="14"/>
            <x v="17"/>
          </reference>
        </references>
      </pivotArea>
    </format>
    <format dxfId="830">
      <pivotArea dataOnly="0" labelOnly="1" grandRow="1" outline="0" fieldPosition="0"/>
    </format>
    <format dxfId="829">
      <pivotArea dataOnly="0" labelOnly="1" outline="0" fieldPosition="0">
        <references count="1">
          <reference field="11" count="0"/>
        </references>
      </pivotArea>
    </format>
    <format dxfId="828">
      <pivotArea dataOnly="0" labelOnly="1" grandCol="1" outline="0" fieldPosition="0"/>
    </format>
    <format dxfId="827">
      <pivotArea outline="0" fieldPosition="0">
        <references count="1">
          <reference field="2" count="9" selected="0">
            <x v="5"/>
            <x v="7"/>
            <x v="9"/>
            <x v="10"/>
            <x v="11"/>
            <x v="12"/>
            <x v="13"/>
            <x v="14"/>
            <x v="17"/>
          </reference>
        </references>
      </pivotArea>
    </format>
    <format dxfId="826">
      <pivotArea outline="0" collapsedLevelsAreSubtotals="1" fieldPosition="0"/>
    </format>
    <format dxfId="825">
      <pivotArea field="2" type="button" dataOnly="0" labelOnly="1" outline="0" axis="axisPage" fieldPosition="2"/>
    </format>
    <format dxfId="824">
      <pivotArea dataOnly="0" labelOnly="1" outline="0" fieldPosition="0">
        <references count="1">
          <reference field="2" count="9">
            <x v="5"/>
            <x v="7"/>
            <x v="9"/>
            <x v="10"/>
            <x v="11"/>
            <x v="12"/>
            <x v="13"/>
            <x v="14"/>
            <x v="17"/>
          </reference>
        </references>
      </pivotArea>
    </format>
    <format dxfId="823">
      <pivotArea dataOnly="0" labelOnly="1" grandRow="1" outline="0" fieldPosition="0"/>
    </format>
    <format dxfId="822">
      <pivotArea dataOnly="0" labelOnly="1" outline="0" fieldPosition="0">
        <references count="1">
          <reference field="11" count="0"/>
        </references>
      </pivotArea>
    </format>
    <format dxfId="821">
      <pivotArea dataOnly="0" labelOnly="1" grandCol="1" outline="0" fieldPosition="0"/>
    </format>
    <format dxfId="820">
      <pivotArea type="all" dataOnly="0" outline="0" fieldPosition="0"/>
    </format>
    <format dxfId="819">
      <pivotArea outline="0" collapsedLevelsAreSubtotals="1" fieldPosition="0"/>
    </format>
    <format dxfId="818">
      <pivotArea type="origin" dataOnly="0" labelOnly="1" outline="0" fieldPosition="0"/>
    </format>
    <format dxfId="817">
      <pivotArea field="12" type="button" dataOnly="0" labelOnly="1" outline="0" axis="axisCol" fieldPosition="0"/>
    </format>
    <format dxfId="816">
      <pivotArea type="topRight" dataOnly="0" labelOnly="1" outline="0" fieldPosition="0"/>
    </format>
    <format dxfId="815">
      <pivotArea field="1" type="button" dataOnly="0" labelOnly="1" outline="0" axis="axisRow" fieldPosition="0"/>
    </format>
    <format dxfId="814">
      <pivotArea dataOnly="0" labelOnly="1" outline="0" fieldPosition="0">
        <references count="1">
          <reference field="1" count="7">
            <x v="2"/>
            <x v="3"/>
            <x v="4"/>
            <x v="5"/>
            <x v="7"/>
            <x v="9"/>
            <x v="10"/>
          </reference>
        </references>
      </pivotArea>
    </format>
    <format dxfId="813">
      <pivotArea dataOnly="0" labelOnly="1" grandRow="1" outline="0" fieldPosition="0"/>
    </format>
    <format dxfId="812">
      <pivotArea dataOnly="0" labelOnly="1" outline="0" fieldPosition="0">
        <references count="1">
          <reference field="12" count="1">
            <x v="0"/>
          </reference>
        </references>
      </pivotArea>
    </format>
    <format dxfId="811">
      <pivotArea dataOnly="0" labelOnly="1" grandCol="1" outline="0" fieldPosition="0"/>
    </format>
    <format dxfId="810">
      <pivotArea type="all" dataOnly="0" outline="0" fieldPosition="0"/>
    </format>
    <format dxfId="809">
      <pivotArea outline="0" collapsedLevelsAreSubtotals="1" fieldPosition="0"/>
    </format>
    <format dxfId="808">
      <pivotArea type="origin" dataOnly="0" labelOnly="1" outline="0" fieldPosition="0"/>
    </format>
    <format dxfId="807">
      <pivotArea field="12" type="button" dataOnly="0" labelOnly="1" outline="0" axis="axisCol" fieldPosition="0"/>
    </format>
    <format dxfId="806">
      <pivotArea type="topRight" dataOnly="0" labelOnly="1" outline="0" fieldPosition="0"/>
    </format>
    <format dxfId="805">
      <pivotArea field="1" type="button" dataOnly="0" labelOnly="1" outline="0" axis="axisRow" fieldPosition="0"/>
    </format>
    <format dxfId="804">
      <pivotArea dataOnly="0" labelOnly="1" outline="0" fieldPosition="0">
        <references count="1">
          <reference field="1" count="7">
            <x v="2"/>
            <x v="3"/>
            <x v="4"/>
            <x v="5"/>
            <x v="7"/>
            <x v="9"/>
            <x v="10"/>
          </reference>
        </references>
      </pivotArea>
    </format>
    <format dxfId="803">
      <pivotArea dataOnly="0" labelOnly="1" grandRow="1" outline="0" fieldPosition="0"/>
    </format>
    <format dxfId="802">
      <pivotArea dataOnly="0" labelOnly="1" outline="0" fieldPosition="0">
        <references count="1">
          <reference field="12" count="1">
            <x v="0"/>
          </reference>
        </references>
      </pivotArea>
    </format>
    <format dxfId="80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6870BB-3A90-A34E-BC38-1B80EB60FC7F}" name="TablaDinámica3" cacheId="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O17:Q26" firstHeaderRow="1" firstDataRow="2" firstDataCol="1" rowPageCount="5" colPageCount="1"/>
  <pivotFields count="60">
    <pivotField axis="axisPage" compact="0" outline="0" multipleItemSelectionAllowed="1" showAll="0" defaultSubtotal="0">
      <items count="8">
        <item h="1" m="1" x="4"/>
        <item x="0"/>
        <item h="1" x="1"/>
        <item h="1" m="1" x="6"/>
        <item h="1" m="1" x="5"/>
        <item h="1" m="1" x="7"/>
        <item h="1" x="2"/>
        <item h="1" x="3"/>
      </items>
    </pivotField>
    <pivotField axis="axisRow" compact="0" outline="0" showAll="0" defaultSubtotal="0">
      <items count="18">
        <item m="1" x="13"/>
        <item x="0"/>
        <item x="1"/>
        <item x="2"/>
        <item x="3"/>
        <item x="4"/>
        <item x="5"/>
        <item x="6"/>
        <item m="1" x="16"/>
        <item x="7"/>
        <item x="8"/>
        <item m="1" x="14"/>
        <item m="1" x="17"/>
        <item x="11"/>
        <item m="1" x="15"/>
        <item x="9"/>
        <item x="10"/>
        <item x="12"/>
      </items>
    </pivotField>
    <pivotField axis="axisPage" compact="0" outline="0" showAll="0" defaultSubtotal="0">
      <items count="32">
        <item x="9"/>
        <item m="1" x="31"/>
        <item x="15"/>
        <item x="17"/>
        <item x="18"/>
        <item x="2"/>
        <item x="16"/>
        <item x="3"/>
        <item m="1" x="30"/>
        <item x="1"/>
        <item x="6"/>
        <item x="10"/>
        <item x="11"/>
        <item x="4"/>
        <item x="5"/>
        <item x="19"/>
        <item x="14"/>
        <item x="12"/>
        <item x="0"/>
        <item x="8"/>
        <item x="7"/>
        <item x="13"/>
        <item x="20"/>
        <item x="26"/>
        <item x="27"/>
        <item x="28"/>
        <item x="21"/>
        <item x="22"/>
        <item x="23"/>
        <item x="24"/>
        <item x="25"/>
        <item x="29"/>
      </items>
    </pivotField>
    <pivotField compact="0" outline="0" showAll="0" defaultSubtotal="0"/>
    <pivotField axis="axisPage" compact="0" outline="0" showAll="0" defaultSubtotal="0">
      <items count="193">
        <item x="73"/>
        <item x="11"/>
        <item x="6"/>
        <item x="7"/>
        <item x="20"/>
        <item x="5"/>
        <item m="1" x="146"/>
        <item x="8"/>
        <item x="10"/>
        <item x="12"/>
        <item x="46"/>
        <item x="75"/>
        <item x="31"/>
        <item x="62"/>
        <item m="1" x="140"/>
        <item m="1" x="191"/>
        <item m="1" x="150"/>
        <item m="1" x="148"/>
        <item x="0"/>
        <item x="2"/>
        <item x="55"/>
        <item m="1" x="179"/>
        <item x="13"/>
        <item x="4"/>
        <item x="14"/>
        <item x="15"/>
        <item x="16"/>
        <item x="17"/>
        <item x="18"/>
        <item m="1" x="147"/>
        <item x="68"/>
        <item x="65"/>
        <item m="1" x="151"/>
        <item x="50"/>
        <item m="1" x="185"/>
        <item m="1" x="145"/>
        <item x="32"/>
        <item x="3"/>
        <item m="1" x="192"/>
        <item m="1" x="118"/>
        <item m="1" x="141"/>
        <item x="76"/>
        <item x="44"/>
        <item m="1" x="180"/>
        <item x="67"/>
        <item x="64"/>
        <item x="66"/>
        <item x="63"/>
        <item m="1" x="181"/>
        <item x="101"/>
        <item m="1" x="119"/>
        <item m="1" x="142"/>
        <item x="45"/>
        <item x="77"/>
        <item m="1" x="152"/>
        <item x="47"/>
        <item m="1" x="164"/>
        <item x="29"/>
        <item m="1" x="188"/>
        <item x="48"/>
        <item x="30"/>
        <item x="102"/>
        <item m="1" x="143"/>
        <item m="1" x="158"/>
        <item m="1" x="144"/>
        <item m="1" x="120"/>
        <item m="1" x="138"/>
        <item m="1" x="162"/>
        <item x="74"/>
        <item m="1" x="182"/>
        <item m="1" x="183"/>
        <item x="51"/>
        <item x="103"/>
        <item m="1" x="189"/>
        <item m="1" x="175"/>
        <item m="1" x="161"/>
        <item m="1" x="159"/>
        <item x="104"/>
        <item m="1" x="163"/>
        <item m="1" x="184"/>
        <item m="1" x="174"/>
        <item m="1" x="178"/>
        <item m="1" x="173"/>
        <item m="1" x="160"/>
        <item m="1" x="156"/>
        <item m="1" x="169"/>
        <item m="1" x="172"/>
        <item m="1" x="166"/>
        <item m="1" x="171"/>
        <item m="1" x="121"/>
        <item m="1" x="116"/>
        <item m="1" x="114"/>
        <item m="1" x="115"/>
        <item m="1" x="126"/>
        <item m="1" x="139"/>
        <item m="1" x="127"/>
        <item m="1" x="117"/>
        <item x="25"/>
        <item x="26"/>
        <item x="27"/>
        <item x="28"/>
        <item x="23"/>
        <item m="1" x="190"/>
        <item m="1" x="187"/>
        <item m="1" x="186"/>
        <item x="24"/>
        <item m="1" x="149"/>
        <item m="1" x="131"/>
        <item m="1" x="132"/>
        <item m="1" x="135"/>
        <item x="85"/>
        <item x="86"/>
        <item m="1" x="137"/>
        <item x="88"/>
        <item m="1" x="176"/>
        <item m="1" x="122"/>
        <item m="1" x="170"/>
        <item m="1" x="167"/>
        <item m="1" x="177"/>
        <item x="35"/>
        <item m="1" x="123"/>
        <item m="1" x="125"/>
        <item x="79"/>
        <item x="83"/>
        <item x="78"/>
        <item x="81"/>
        <item x="80"/>
        <item x="82"/>
        <item m="1" x="165"/>
        <item m="1" x="168"/>
        <item m="1" x="124"/>
        <item x="40"/>
        <item x="41"/>
        <item m="1" x="153"/>
        <item m="1" x="154"/>
        <item m="1" x="155"/>
        <item m="1" x="157"/>
        <item m="1" x="128"/>
        <item m="1" x="129"/>
        <item m="1" x="130"/>
        <item m="1" x="133"/>
        <item m="1" x="134"/>
        <item x="49"/>
        <item x="52"/>
        <item x="1"/>
        <item x="9"/>
        <item x="19"/>
        <item x="21"/>
        <item x="22"/>
        <item x="33"/>
        <item x="36"/>
        <item x="34"/>
        <item x="42"/>
        <item x="38"/>
        <item x="39"/>
        <item x="43"/>
        <item x="37"/>
        <item m="1" x="136"/>
        <item x="53"/>
        <item x="54"/>
        <item x="56"/>
        <item x="57"/>
        <item x="58"/>
        <item x="59"/>
        <item x="60"/>
        <item x="61"/>
        <item x="69"/>
        <item x="70"/>
        <item x="71"/>
        <item x="72"/>
        <item x="84"/>
        <item x="87"/>
        <item x="89"/>
        <item x="90"/>
        <item x="91"/>
        <item x="92"/>
        <item x="93"/>
        <item x="94"/>
        <item x="95"/>
        <item x="96"/>
        <item x="97"/>
        <item x="98"/>
        <item x="99"/>
        <item x="100"/>
        <item x="105"/>
        <item x="106"/>
        <item x="107"/>
        <item x="108"/>
        <item x="109"/>
        <item x="110"/>
        <item x="111"/>
        <item x="112"/>
        <item x="113"/>
      </items>
    </pivotField>
    <pivotField compact="0" outline="0" showAll="0" defaultSubtotal="0"/>
    <pivotField compact="0" outline="0" showAll="0" defaultSubtotal="0"/>
    <pivotField dataField="1" compact="0" outline="0" showAll="0" defaultSubtotal="0"/>
    <pivotField compact="0" outline="0" showAll="0" defaultSubtotal="0"/>
    <pivotField axis="axisPage" compact="0" outline="0" showAll="0" defaultSubtotal="0">
      <items count="72">
        <item x="2"/>
        <item x="3"/>
        <item m="1" x="67"/>
        <item m="1" x="66"/>
        <item m="1" x="68"/>
        <item m="1" x="65"/>
        <item x="31"/>
        <item x="32"/>
        <item x="11"/>
        <item x="7"/>
        <item x="8"/>
        <item x="19"/>
        <item x="10"/>
        <item x="12"/>
        <item x="4"/>
        <item x="15"/>
        <item x="16"/>
        <item x="60"/>
        <item x="59"/>
        <item x="58"/>
        <item x="9"/>
        <item x="5"/>
        <item x="20"/>
        <item m="1" x="64"/>
        <item x="43"/>
        <item x="0"/>
        <item x="50"/>
        <item x="30"/>
        <item x="1"/>
        <item x="40"/>
        <item x="33"/>
        <item x="53"/>
        <item x="55"/>
        <item x="54"/>
        <item x="52"/>
        <item x="36"/>
        <item x="44"/>
        <item m="1" x="69"/>
        <item x="41"/>
        <item x="25"/>
        <item x="26"/>
        <item x="21"/>
        <item x="23"/>
        <item x="22"/>
        <item x="24"/>
        <item m="1" x="71"/>
        <item x="13"/>
        <item x="6"/>
        <item x="57"/>
        <item x="18"/>
        <item x="45"/>
        <item x="46"/>
        <item x="14"/>
        <item x="17"/>
        <item x="28"/>
        <item x="27"/>
        <item x="34"/>
        <item x="39"/>
        <item m="1" x="70"/>
        <item x="56"/>
        <item x="35"/>
        <item x="37"/>
        <item x="48"/>
        <item x="49"/>
        <item x="47"/>
        <item x="51"/>
        <item x="42"/>
        <item x="38"/>
        <item x="29"/>
        <item x="62"/>
        <item x="61"/>
        <item x="63"/>
      </items>
    </pivotField>
    <pivotField compact="0" outline="0" showAll="0" defaultSubtotal="0"/>
    <pivotField axis="axisPage" compact="0" outline="0" multipleItemSelectionAllowed="1" showAll="0" defaultSubtotal="0">
      <items count="13">
        <item h="1" m="1" x="11"/>
        <item h="1" m="1" x="12"/>
        <item x="1"/>
        <item x="2"/>
        <item h="1" x="4"/>
        <item h="1" x="3"/>
        <item h="1" x="5"/>
        <item h="1" m="1" x="10"/>
        <item h="1" x="7"/>
        <item h="1" m="1" x="9"/>
        <item h="1" x="0"/>
        <item h="1" x="6"/>
        <item h="1" x="8"/>
      </items>
    </pivotField>
    <pivotField axis="axisCol" compact="0" outline="0" showAll="0" defaultSubtotal="0">
      <items count="6">
        <item x="0"/>
        <item x="2"/>
        <item m="1" x="4"/>
        <item x="3"/>
        <item m="1" x="5"/>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
  </rowFields>
  <rowItems count="8">
    <i>
      <x v="2"/>
    </i>
    <i>
      <x v="3"/>
    </i>
    <i>
      <x v="4"/>
    </i>
    <i>
      <x v="5"/>
    </i>
    <i>
      <x v="7"/>
    </i>
    <i>
      <x v="9"/>
    </i>
    <i>
      <x v="10"/>
    </i>
    <i t="grand">
      <x/>
    </i>
  </rowItems>
  <colFields count="1">
    <field x="12"/>
  </colFields>
  <colItems count="2">
    <i>
      <x/>
    </i>
    <i t="grand">
      <x/>
    </i>
  </colItems>
  <pageFields count="5">
    <pageField fld="0" hier="-1"/>
    <pageField fld="4" hier="-1"/>
    <pageField fld="2" hier="-1"/>
    <pageField fld="11" hier="-1"/>
    <pageField fld="9" hier="-1"/>
  </pageFields>
  <dataFields count="1">
    <dataField name="Cuenta de Valor Contrato" fld="7" subtotal="count" baseField="9" baseItem="45"/>
  </dataFields>
  <formats count="55">
    <format dxfId="905">
      <pivotArea outline="0" collapsedLevelsAreSubtotals="1" fieldPosition="0"/>
    </format>
    <format dxfId="904">
      <pivotArea field="2" type="button" dataOnly="0" labelOnly="1" outline="0" axis="axisPage" fieldPosition="2"/>
    </format>
    <format dxfId="903">
      <pivotArea dataOnly="0" labelOnly="1" fieldPosition="0">
        <references count="1">
          <reference field="2" count="9">
            <x v="5"/>
            <x v="7"/>
            <x v="9"/>
            <x v="10"/>
            <x v="11"/>
            <x v="12"/>
            <x v="13"/>
            <x v="14"/>
            <x v="17"/>
          </reference>
        </references>
      </pivotArea>
    </format>
    <format dxfId="902">
      <pivotArea dataOnly="0" labelOnly="1" grandRow="1" outline="0" fieldPosition="0"/>
    </format>
    <format dxfId="901">
      <pivotArea dataOnly="0" labelOnly="1" fieldPosition="0">
        <references count="1">
          <reference field="11" count="0"/>
        </references>
      </pivotArea>
    </format>
    <format dxfId="900">
      <pivotArea dataOnly="0" labelOnly="1" grandCol="1" outline="0" fieldPosition="0"/>
    </format>
    <format dxfId="899">
      <pivotArea outline="0" collapsedLevelsAreSubtotals="1" fieldPosition="0"/>
    </format>
    <format dxfId="898">
      <pivotArea field="2" type="button" dataOnly="0" labelOnly="1" outline="0" axis="axisPage" fieldPosition="2"/>
    </format>
    <format dxfId="897">
      <pivotArea dataOnly="0" labelOnly="1" fieldPosition="0">
        <references count="1">
          <reference field="2" count="9">
            <x v="5"/>
            <x v="7"/>
            <x v="9"/>
            <x v="10"/>
            <x v="11"/>
            <x v="12"/>
            <x v="13"/>
            <x v="14"/>
            <x v="17"/>
          </reference>
        </references>
      </pivotArea>
    </format>
    <format dxfId="896">
      <pivotArea dataOnly="0" labelOnly="1" grandRow="1" outline="0" fieldPosition="0"/>
    </format>
    <format dxfId="895">
      <pivotArea dataOnly="0" labelOnly="1" fieldPosition="0">
        <references count="1">
          <reference field="11" count="0"/>
        </references>
      </pivotArea>
    </format>
    <format dxfId="894">
      <pivotArea dataOnly="0" labelOnly="1" grandCol="1" outline="0" fieldPosition="0"/>
    </format>
    <format dxfId="893">
      <pivotArea dataOnly="0" labelOnly="1" outline="0" fieldPosition="0">
        <references count="1">
          <reference field="4" count="0"/>
        </references>
      </pivotArea>
    </format>
    <format dxfId="892">
      <pivotArea dataOnly="0" labelOnly="1" outline="0" fieldPosition="0">
        <references count="1">
          <reference field="4" count="0"/>
        </references>
      </pivotArea>
    </format>
    <format dxfId="891">
      <pivotArea outline="0" collapsedLevelsAreSubtotals="1" fieldPosition="0"/>
    </format>
    <format dxfId="890">
      <pivotArea type="all" dataOnly="0" outline="0" fieldPosition="0"/>
    </format>
    <format dxfId="889">
      <pivotArea outline="0" collapsedLevelsAreSubtotals="1" fieldPosition="0"/>
    </format>
    <format dxfId="888">
      <pivotArea type="origin" dataOnly="0" labelOnly="1" outline="0" fieldPosition="0"/>
    </format>
    <format dxfId="887">
      <pivotArea field="11" type="button" dataOnly="0" labelOnly="1" outline="0" axis="axisPage" fieldPosition="3"/>
    </format>
    <format dxfId="886">
      <pivotArea type="topRight" dataOnly="0" labelOnly="1" outline="0" fieldPosition="0"/>
    </format>
    <format dxfId="885">
      <pivotArea field="2" type="button" dataOnly="0" labelOnly="1" outline="0" axis="axisPage" fieldPosition="2"/>
    </format>
    <format dxfId="884">
      <pivotArea dataOnly="0" labelOnly="1" outline="0" fieldPosition="0">
        <references count="1">
          <reference field="2" count="9">
            <x v="5"/>
            <x v="7"/>
            <x v="9"/>
            <x v="10"/>
            <x v="11"/>
            <x v="12"/>
            <x v="13"/>
            <x v="14"/>
            <x v="17"/>
          </reference>
        </references>
      </pivotArea>
    </format>
    <format dxfId="883">
      <pivotArea dataOnly="0" labelOnly="1" grandRow="1" outline="0" fieldPosition="0"/>
    </format>
    <format dxfId="882">
      <pivotArea dataOnly="0" labelOnly="1" outline="0" fieldPosition="0">
        <references count="1">
          <reference field="11" count="0"/>
        </references>
      </pivotArea>
    </format>
    <format dxfId="881">
      <pivotArea dataOnly="0" labelOnly="1" grandCol="1" outline="0" fieldPosition="0"/>
    </format>
    <format dxfId="880">
      <pivotArea type="all" dataOnly="0" outline="0" fieldPosition="0"/>
    </format>
    <format dxfId="879">
      <pivotArea outline="0" collapsedLevelsAreSubtotals="1" fieldPosition="0"/>
    </format>
    <format dxfId="878">
      <pivotArea type="origin" dataOnly="0" labelOnly="1" outline="0" fieldPosition="0"/>
    </format>
    <format dxfId="877">
      <pivotArea field="12" type="button" dataOnly="0" labelOnly="1" outline="0" axis="axisCol" fieldPosition="0"/>
    </format>
    <format dxfId="876">
      <pivotArea type="topRight" dataOnly="0" labelOnly="1" outline="0" fieldPosition="0"/>
    </format>
    <format dxfId="875">
      <pivotArea field="1" type="button" dataOnly="0" labelOnly="1" outline="0" axis="axisRow" fieldPosition="0"/>
    </format>
    <format dxfId="874">
      <pivotArea dataOnly="0" labelOnly="1" outline="0" fieldPosition="0">
        <references count="1">
          <reference field="1" count="9">
            <x v="1"/>
            <x v="2"/>
            <x v="3"/>
            <x v="4"/>
            <x v="5"/>
            <x v="6"/>
            <x v="7"/>
            <x v="9"/>
            <x v="10"/>
          </reference>
        </references>
      </pivotArea>
    </format>
    <format dxfId="873">
      <pivotArea dataOnly="0" labelOnly="1" grandRow="1" outline="0" fieldPosition="0"/>
    </format>
    <format dxfId="872">
      <pivotArea dataOnly="0" labelOnly="1" outline="0" fieldPosition="0">
        <references count="1">
          <reference field="12" count="0"/>
        </references>
      </pivotArea>
    </format>
    <format dxfId="871">
      <pivotArea dataOnly="0" labelOnly="1" grandCol="1" outline="0" fieldPosition="0"/>
    </format>
    <format dxfId="870">
      <pivotArea type="all" dataOnly="0" outline="0" fieldPosition="0"/>
    </format>
    <format dxfId="869">
      <pivotArea outline="0" collapsedLevelsAreSubtotals="1" fieldPosition="0"/>
    </format>
    <format dxfId="868">
      <pivotArea type="origin" dataOnly="0" labelOnly="1" outline="0" fieldPosition="0"/>
    </format>
    <format dxfId="867">
      <pivotArea field="12" type="button" dataOnly="0" labelOnly="1" outline="0" axis="axisCol" fieldPosition="0"/>
    </format>
    <format dxfId="866">
      <pivotArea type="topRight" dataOnly="0" labelOnly="1" outline="0" fieldPosition="0"/>
    </format>
    <format dxfId="865">
      <pivotArea field="1" type="button" dataOnly="0" labelOnly="1" outline="0" axis="axisRow" fieldPosition="0"/>
    </format>
    <format dxfId="864">
      <pivotArea dataOnly="0" labelOnly="1" outline="0" fieldPosition="0">
        <references count="1">
          <reference field="1" count="7">
            <x v="2"/>
            <x v="3"/>
            <x v="4"/>
            <x v="5"/>
            <x v="7"/>
            <x v="9"/>
            <x v="10"/>
          </reference>
        </references>
      </pivotArea>
    </format>
    <format dxfId="863">
      <pivotArea dataOnly="0" labelOnly="1" grandRow="1" outline="0" fieldPosition="0"/>
    </format>
    <format dxfId="862">
      <pivotArea dataOnly="0" labelOnly="1" outline="0" fieldPosition="0">
        <references count="1">
          <reference field="12" count="1">
            <x v="0"/>
          </reference>
        </references>
      </pivotArea>
    </format>
    <format dxfId="861">
      <pivotArea dataOnly="0" labelOnly="1" grandCol="1" outline="0" fieldPosition="0"/>
    </format>
    <format dxfId="860">
      <pivotArea type="all" dataOnly="0" outline="0" fieldPosition="0"/>
    </format>
    <format dxfId="859">
      <pivotArea outline="0" collapsedLevelsAreSubtotals="1" fieldPosition="0"/>
    </format>
    <format dxfId="858">
      <pivotArea type="origin" dataOnly="0" labelOnly="1" outline="0" fieldPosition="0"/>
    </format>
    <format dxfId="857">
      <pivotArea field="12" type="button" dataOnly="0" labelOnly="1" outline="0" axis="axisCol" fieldPosition="0"/>
    </format>
    <format dxfId="856">
      <pivotArea type="topRight" dataOnly="0" labelOnly="1" outline="0" fieldPosition="0"/>
    </format>
    <format dxfId="855">
      <pivotArea field="1" type="button" dataOnly="0" labelOnly="1" outline="0" axis="axisRow" fieldPosition="0"/>
    </format>
    <format dxfId="854">
      <pivotArea dataOnly="0" labelOnly="1" outline="0" fieldPosition="0">
        <references count="1">
          <reference field="1" count="7">
            <x v="2"/>
            <x v="3"/>
            <x v="4"/>
            <x v="5"/>
            <x v="7"/>
            <x v="9"/>
            <x v="10"/>
          </reference>
        </references>
      </pivotArea>
    </format>
    <format dxfId="853">
      <pivotArea dataOnly="0" labelOnly="1" grandRow="1" outline="0" fieldPosition="0"/>
    </format>
    <format dxfId="852">
      <pivotArea dataOnly="0" labelOnly="1" outline="0" fieldPosition="0">
        <references count="1">
          <reference field="12" count="1">
            <x v="0"/>
          </reference>
        </references>
      </pivotArea>
    </format>
    <format dxfId="85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A4DE97-99C2-3C4F-8D5A-A6818BF4370D}" name="TablaDinámica2" cacheId="3" applyNumberFormats="0" applyBorderFormats="0" applyFontFormats="0" applyPatternFormats="0" applyAlignmentFormats="0" applyWidthHeightFormats="1" dataCaption="Valores" updatedVersion="8" minRefreshableVersion="3" itemPrintTitles="1" createdVersion="8" indent="0" compact="0" compactData="0" multipleFieldFilters="0">
  <location ref="C23:G41" firstHeaderRow="1" firstDataRow="1" firstDataCol="4"/>
  <pivotFields count="5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0">
        <item n="Bibliotecas" x="2"/>
        <item x="13"/>
        <item x="16"/>
        <item x="15"/>
        <item n="ontratar la modernización tecnológica de la Plataforma de Gestión Contractual (PGC), con el fin de fortalecer su uso y apropiación a nivel distrital. " x="4"/>
        <item x="18"/>
        <item x="19"/>
        <item x="11"/>
        <item x="8"/>
        <item x="6"/>
        <item x="0"/>
        <item x="1"/>
        <item x="3"/>
        <item x="5"/>
        <item x="7"/>
        <item x="9"/>
        <item x="10"/>
        <item x="12"/>
        <item x="14"/>
        <item x="1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5">
        <item x="5"/>
        <item x="12"/>
        <item x="3"/>
        <item x="7"/>
        <item x="13"/>
        <item x="14"/>
        <item x="0"/>
        <item x="1"/>
        <item x="2"/>
        <item x="4"/>
        <item x="6"/>
        <item x="8"/>
        <item x="9"/>
        <item x="10"/>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20">
        <item x="16"/>
        <item x="2"/>
        <item x="1"/>
        <item x="9"/>
        <item x="5"/>
        <item x="4"/>
        <item x="3"/>
        <item x="19"/>
        <item x="15"/>
        <item x="14"/>
        <item x="18"/>
        <item x="8"/>
        <item x="7"/>
        <item x="6"/>
        <item x="11"/>
        <item x="13"/>
        <item x="12"/>
        <item x="0"/>
        <item x="17"/>
        <item x="1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0">
        <item x="11"/>
        <item x="2"/>
        <item x="15"/>
        <item x="16"/>
        <item x="6"/>
        <item x="4"/>
        <item x="7"/>
        <item x="0"/>
        <item x="8"/>
        <item x="18"/>
        <item x="19"/>
        <item x="13"/>
        <item x="14"/>
        <item x="1"/>
        <item x="10"/>
        <item x="12"/>
        <item x="17"/>
        <item x="3"/>
        <item x="5"/>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1"/>
        <item x="2"/>
        <item x="3"/>
        <item h="1" x="5"/>
        <item x="6"/>
        <item x="7"/>
        <item h="1" x="0"/>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4">
    <field x="38"/>
    <field x="2"/>
    <field x="22"/>
    <field x="35"/>
  </rowFields>
  <rowItems count="18">
    <i>
      <x/>
      <x/>
      <x v="1"/>
      <x v="1"/>
    </i>
    <i r="1">
      <x v="11"/>
      <x v="2"/>
      <x v="13"/>
    </i>
    <i>
      <x v="1"/>
      <x v="4"/>
      <x v="5"/>
      <x v="5"/>
    </i>
    <i r="1">
      <x v="12"/>
      <x v="6"/>
      <x v="17"/>
    </i>
    <i r="1">
      <x v="13"/>
      <x v="4"/>
      <x v="18"/>
    </i>
    <i>
      <x v="2"/>
      <x v="8"/>
      <x v="11"/>
      <x v="8"/>
    </i>
    <i r="1">
      <x v="9"/>
      <x v="13"/>
      <x v="4"/>
    </i>
    <i r="1">
      <x v="14"/>
      <x v="12"/>
      <x v="6"/>
    </i>
    <i>
      <x v="4"/>
      <x v="1"/>
      <x v="15"/>
      <x v="11"/>
    </i>
    <i r="1">
      <x v="2"/>
      <x/>
      <x v="3"/>
    </i>
    <i r="1">
      <x v="3"/>
      <x v="8"/>
      <x v="2"/>
    </i>
    <i r="1">
      <x v="17"/>
      <x v="16"/>
      <x v="15"/>
    </i>
    <i r="1">
      <x v="18"/>
      <x v="9"/>
      <x v="12"/>
    </i>
    <i>
      <x v="5"/>
      <x v="5"/>
      <x v="10"/>
      <x v="9"/>
    </i>
    <i r="1">
      <x v="6"/>
      <x v="7"/>
      <x v="10"/>
    </i>
    <i r="1">
      <x v="19"/>
      <x v="18"/>
      <x v="16"/>
    </i>
    <i>
      <x v="7"/>
      <x v="15"/>
      <x v="3"/>
      <x v="19"/>
    </i>
    <i t="grand">
      <x/>
    </i>
  </rowItems>
  <colItems count="1">
    <i/>
  </colItems>
  <dataFields count="1">
    <dataField name="VALOR _x000a_TOTAL _x000a_" fld="18" baseField="12" baseItem="0" numFmtId="3"/>
  </dataFields>
  <formats count="228">
    <format dxfId="304">
      <pivotArea dataOnly="0" labelOnly="1" outline="0" fieldPosition="0">
        <references count="3">
          <reference field="2" count="1" selected="0">
            <x v="4"/>
          </reference>
          <reference field="22" count="1">
            <x v="5"/>
          </reference>
          <reference field="38" count="1" selected="0">
            <x v="1"/>
          </reference>
        </references>
      </pivotArea>
    </format>
    <format dxfId="303">
      <pivotArea dataOnly="0" labelOnly="1" outline="0" fieldPosition="0">
        <references count="3">
          <reference field="2" count="1" selected="0">
            <x v="12"/>
          </reference>
          <reference field="22" count="1">
            <x v="6"/>
          </reference>
          <reference field="38" count="1" selected="0">
            <x v="1"/>
          </reference>
        </references>
      </pivotArea>
    </format>
    <format dxfId="302">
      <pivotArea dataOnly="0" labelOnly="1" outline="0" fieldPosition="0">
        <references count="3">
          <reference field="2" count="1" selected="0">
            <x v="13"/>
          </reference>
          <reference field="22" count="1">
            <x v="4"/>
          </reference>
          <reference field="38" count="1" selected="0">
            <x v="1"/>
          </reference>
        </references>
      </pivotArea>
    </format>
    <format dxfId="301">
      <pivotArea outline="0" fieldPosition="0">
        <references count="4">
          <reference field="2" count="1" selected="0">
            <x v="19"/>
          </reference>
          <reference field="22" count="1" selected="0">
            <x v="18"/>
          </reference>
          <reference field="35" count="1" selected="0">
            <x v="16"/>
          </reference>
          <reference field="38" count="1" selected="0">
            <x v="5"/>
          </reference>
        </references>
      </pivotArea>
    </format>
    <format dxfId="300">
      <pivotArea dataOnly="0" labelOnly="1" outline="0" fieldPosition="0">
        <references count="1">
          <reference field="38" count="1">
            <x v="5"/>
          </reference>
        </references>
      </pivotArea>
    </format>
    <format dxfId="299">
      <pivotArea dataOnly="0" labelOnly="1" outline="0" fieldPosition="0">
        <references count="2">
          <reference field="2" count="1">
            <x v="19"/>
          </reference>
          <reference field="38" count="1" selected="0">
            <x v="5"/>
          </reference>
        </references>
      </pivotArea>
    </format>
    <format dxfId="298">
      <pivotArea dataOnly="0" labelOnly="1" outline="0" fieldPosition="0">
        <references count="3">
          <reference field="2" count="1" selected="0">
            <x v="19"/>
          </reference>
          <reference field="22" count="1">
            <x v="18"/>
          </reference>
          <reference field="38" count="1" selected="0">
            <x v="5"/>
          </reference>
        </references>
      </pivotArea>
    </format>
    <format dxfId="297">
      <pivotArea dataOnly="0" labelOnly="1" outline="0" fieldPosition="0">
        <references count="4">
          <reference field="2" count="1" selected="0">
            <x v="19"/>
          </reference>
          <reference field="22" count="1" selected="0">
            <x v="18"/>
          </reference>
          <reference field="35" count="1">
            <x v="16"/>
          </reference>
          <reference field="38" count="1" selected="0">
            <x v="5"/>
          </reference>
        </references>
      </pivotArea>
    </format>
    <format dxfId="296">
      <pivotArea type="all" dataOnly="0" outline="0" fieldPosition="0"/>
    </format>
    <format dxfId="295">
      <pivotArea outline="0" collapsedLevelsAreSubtotals="1" fieldPosition="0"/>
    </format>
    <format dxfId="294">
      <pivotArea field="22" type="button" dataOnly="0" labelOnly="1" outline="0" axis="axisRow" fieldPosition="2"/>
    </format>
    <format dxfId="293">
      <pivotArea field="35" type="button" dataOnly="0" labelOnly="1" outline="0" axis="axisRow" fieldPosition="3"/>
    </format>
    <format dxfId="292">
      <pivotArea dataOnly="0" labelOnly="1" outline="0" fieldPosition="0">
        <references count="1">
          <reference field="38" count="0"/>
        </references>
      </pivotArea>
    </format>
    <format dxfId="291">
      <pivotArea dataOnly="0" labelOnly="1" grandRow="1" outline="0" fieldPosition="0"/>
    </format>
    <format dxfId="290">
      <pivotArea dataOnly="0" labelOnly="1" outline="0" fieldPosition="0">
        <references count="2">
          <reference field="2" count="2">
            <x v="0"/>
            <x v="11"/>
          </reference>
          <reference field="38" count="1" selected="0">
            <x v="0"/>
          </reference>
        </references>
      </pivotArea>
    </format>
    <format dxfId="289">
      <pivotArea dataOnly="0" labelOnly="1" outline="0" fieldPosition="0">
        <references count="3">
          <reference field="2" count="1" selected="0">
            <x v="0"/>
          </reference>
          <reference field="22" count="1">
            <x v="1"/>
          </reference>
          <reference field="38" count="1" selected="0">
            <x v="0"/>
          </reference>
        </references>
      </pivotArea>
    </format>
    <format dxfId="288">
      <pivotArea dataOnly="0" labelOnly="1" outline="0" fieldPosition="0">
        <references count="4">
          <reference field="2" count="1" selected="0">
            <x v="0"/>
          </reference>
          <reference field="22" count="1" selected="0">
            <x v="1"/>
          </reference>
          <reference field="35" count="1">
            <x v="1"/>
          </reference>
          <reference field="38" count="1" selected="0">
            <x v="0"/>
          </reference>
        </references>
      </pivotArea>
    </format>
    <format dxfId="287">
      <pivotArea dataOnly="0" labelOnly="1" outline="0" axis="axisValues" fieldPosition="0"/>
    </format>
    <format dxfId="286">
      <pivotArea outline="0" fieldPosition="0">
        <references count="4">
          <reference field="2" count="17" selected="0">
            <x v="0"/>
            <x v="1"/>
            <x v="2"/>
            <x v="3"/>
            <x v="4"/>
            <x v="5"/>
            <x v="6"/>
            <x v="8"/>
            <x v="9"/>
            <x v="11"/>
            <x v="12"/>
            <x v="13"/>
            <x v="14"/>
            <x v="15"/>
            <x v="17"/>
            <x v="18"/>
            <x v="19"/>
          </reference>
          <reference field="22" count="17" selected="0">
            <x v="0"/>
            <x v="1"/>
            <x v="2"/>
            <x v="3"/>
            <x v="4"/>
            <x v="5"/>
            <x v="6"/>
            <x v="7"/>
            <x v="8"/>
            <x v="9"/>
            <x v="10"/>
            <x v="11"/>
            <x v="12"/>
            <x v="13"/>
            <x v="15"/>
            <x v="16"/>
            <x v="18"/>
          </reference>
          <reference field="35" count="17" selected="0">
            <x v="1"/>
            <x v="2"/>
            <x v="3"/>
            <x v="4"/>
            <x v="5"/>
            <x v="6"/>
            <x v="8"/>
            <x v="9"/>
            <x v="10"/>
            <x v="11"/>
            <x v="12"/>
            <x v="13"/>
            <x v="15"/>
            <x v="16"/>
            <x v="17"/>
            <x v="18"/>
            <x v="19"/>
          </reference>
          <reference field="38" count="0" selected="0"/>
        </references>
      </pivotArea>
    </format>
    <format dxfId="285">
      <pivotArea field="22" type="button" dataOnly="0" labelOnly="1" outline="0" axis="axisRow" fieldPosition="2"/>
    </format>
    <format dxfId="284">
      <pivotArea field="35" type="button" dataOnly="0" labelOnly="1" outline="0" axis="axisRow" fieldPosition="3"/>
    </format>
    <format dxfId="283">
      <pivotArea dataOnly="0" labelOnly="1" outline="0" fieldPosition="0">
        <references count="1">
          <reference field="38" count="0"/>
        </references>
      </pivotArea>
    </format>
    <format dxfId="282">
      <pivotArea dataOnly="0" labelOnly="1" outline="0" fieldPosition="0">
        <references count="2">
          <reference field="2" count="2">
            <x v="0"/>
            <x v="11"/>
          </reference>
          <reference field="38" count="1" selected="0">
            <x v="0"/>
          </reference>
        </references>
      </pivotArea>
    </format>
    <format dxfId="281">
      <pivotArea dataOnly="0" labelOnly="1" outline="0" fieldPosition="0">
        <references count="3">
          <reference field="2" count="1" selected="0">
            <x v="0"/>
          </reference>
          <reference field="22" count="1">
            <x v="1"/>
          </reference>
          <reference field="38" count="1" selected="0">
            <x v="0"/>
          </reference>
        </references>
      </pivotArea>
    </format>
    <format dxfId="280">
      <pivotArea dataOnly="0" labelOnly="1" outline="0" fieldPosition="0">
        <references count="4">
          <reference field="2" count="1" selected="0">
            <x v="0"/>
          </reference>
          <reference field="22" count="1" selected="0">
            <x v="1"/>
          </reference>
          <reference field="35" count="1">
            <x v="1"/>
          </reference>
          <reference field="38" count="1" selected="0">
            <x v="0"/>
          </reference>
        </references>
      </pivotArea>
    </format>
    <format dxfId="279">
      <pivotArea dataOnly="0" labelOnly="1" outline="0" axis="axisValues" fieldPosition="0"/>
    </format>
    <format dxfId="278">
      <pivotArea dataOnly="0" outline="0" fieldPosition="0">
        <references count="4">
          <reference field="2" count="0" defaultSubtotal="1" sumSubtotal="1" countASubtotal="1" avgSubtotal="1" maxSubtotal="1" minSubtotal="1" productSubtotal="1" countSubtotal="1" stdDevSubtotal="1" stdDevPSubtotal="1" varSubtotal="1" varPSubtotal="1"/>
          <reference field="22" count="0" defaultSubtotal="1" sumSubtotal="1" countASubtotal="1" avgSubtotal="1" maxSubtotal="1" minSubtotal="1" productSubtotal="1" countSubtotal="1" stdDevSubtotal="1" stdDevPSubtotal="1" varSubtotal="1" varPSubtotal="1"/>
          <reference field="35" count="0" defaultSubtotal="1" sumSubtotal="1" countASubtotal="1" avgSubtotal="1" maxSubtotal="1" minSubtotal="1" productSubtotal="1" countSubtotal="1" stdDevSubtotal="1" stdDevPSubtotal="1" varSubtotal="1" varPSubtotal="1"/>
          <reference field="38" count="2">
            <x v="4"/>
            <x v="5"/>
          </reference>
        </references>
      </pivotArea>
    </format>
    <format dxfId="277">
      <pivotArea outline="0" fieldPosition="0">
        <references count="4">
          <reference field="2" count="1" selected="0">
            <x v="0"/>
          </reference>
          <reference field="22" count="1" selected="0">
            <x v="1"/>
          </reference>
          <reference field="35" count="1" selected="0">
            <x v="1"/>
          </reference>
          <reference field="38" count="1" selected="0">
            <x v="0"/>
          </reference>
        </references>
      </pivotArea>
    </format>
    <format dxfId="276">
      <pivotArea dataOnly="0" labelOnly="1" outline="0" fieldPosition="0">
        <references count="1">
          <reference field="38" count="1">
            <x v="0"/>
          </reference>
        </references>
      </pivotArea>
    </format>
    <format dxfId="275">
      <pivotArea dataOnly="0" labelOnly="1" outline="0" fieldPosition="0">
        <references count="2">
          <reference field="2" count="1">
            <x v="0"/>
          </reference>
          <reference field="38" count="1" selected="0">
            <x v="0"/>
          </reference>
        </references>
      </pivotArea>
    </format>
    <format dxfId="274">
      <pivotArea dataOnly="0" labelOnly="1" outline="0" fieldPosition="0">
        <references count="3">
          <reference field="2" count="1" selected="0">
            <x v="0"/>
          </reference>
          <reference field="22" count="1">
            <x v="1"/>
          </reference>
          <reference field="38" count="1" selected="0">
            <x v="0"/>
          </reference>
        </references>
      </pivotArea>
    </format>
    <format dxfId="273">
      <pivotArea dataOnly="0" labelOnly="1" outline="0" fieldPosition="0">
        <references count="4">
          <reference field="2" count="1" selected="0">
            <x v="0"/>
          </reference>
          <reference field="22" count="1" selected="0">
            <x v="1"/>
          </reference>
          <reference field="35" count="1">
            <x v="1"/>
          </reference>
          <reference field="38" count="1" selected="0">
            <x v="0"/>
          </reference>
        </references>
      </pivotArea>
    </format>
    <format dxfId="272">
      <pivotArea field="22" type="button" dataOnly="0" labelOnly="1" outline="0" axis="axisRow" fieldPosition="2"/>
    </format>
    <format dxfId="271">
      <pivotArea field="35" type="button" dataOnly="0" labelOnly="1" outline="0" axis="axisRow" fieldPosition="3"/>
    </format>
    <format dxfId="270">
      <pivotArea dataOnly="0" labelOnly="1" outline="0" axis="axisValues" fieldPosition="0"/>
    </format>
    <format dxfId="269">
      <pivotArea field="22" type="button" dataOnly="0" labelOnly="1" outline="0" axis="axisRow" fieldPosition="2"/>
    </format>
    <format dxfId="268">
      <pivotArea field="35" type="button" dataOnly="0" labelOnly="1" outline="0" axis="axisRow" fieldPosition="3"/>
    </format>
    <format dxfId="267">
      <pivotArea dataOnly="0" labelOnly="1" outline="0" axis="axisValues" fieldPosition="0"/>
    </format>
    <format dxfId="266">
      <pivotArea outline="0" fieldPosition="0">
        <references count="4">
          <reference field="2" count="17" selected="0">
            <x v="0"/>
            <x v="1"/>
            <x v="2"/>
            <x v="3"/>
            <x v="4"/>
            <x v="5"/>
            <x v="6"/>
            <x v="8"/>
            <x v="9"/>
            <x v="11"/>
            <x v="12"/>
            <x v="13"/>
            <x v="14"/>
            <x v="15"/>
            <x v="17"/>
            <x v="18"/>
            <x v="19"/>
          </reference>
          <reference field="22" count="17" selected="0">
            <x v="0"/>
            <x v="1"/>
            <x v="2"/>
            <x v="3"/>
            <x v="4"/>
            <x v="5"/>
            <x v="6"/>
            <x v="7"/>
            <x v="8"/>
            <x v="9"/>
            <x v="10"/>
            <x v="11"/>
            <x v="12"/>
            <x v="13"/>
            <x v="15"/>
            <x v="16"/>
            <x v="18"/>
          </reference>
          <reference field="35" count="17" selected="0">
            <x v="1"/>
            <x v="2"/>
            <x v="3"/>
            <x v="4"/>
            <x v="5"/>
            <x v="6"/>
            <x v="8"/>
            <x v="9"/>
            <x v="10"/>
            <x v="11"/>
            <x v="12"/>
            <x v="13"/>
            <x v="15"/>
            <x v="16"/>
            <x v="17"/>
            <x v="18"/>
            <x v="19"/>
          </reference>
          <reference field="38" count="0" selected="0"/>
        </references>
      </pivotArea>
    </format>
    <format dxfId="265">
      <pivotArea field="38" type="button" dataOnly="0" labelOnly="1" outline="0" axis="axisRow" fieldPosition="0"/>
    </format>
    <format dxfId="264">
      <pivotArea field="2" type="button" dataOnly="0" labelOnly="1" outline="0" axis="axisRow" fieldPosition="1"/>
    </format>
    <format dxfId="263">
      <pivotArea field="22" type="button" dataOnly="0" labelOnly="1" outline="0" axis="axisRow" fieldPosition="2"/>
    </format>
    <format dxfId="262">
      <pivotArea field="35" type="button" dataOnly="0" labelOnly="1" outline="0" axis="axisRow" fieldPosition="3"/>
    </format>
    <format dxfId="261">
      <pivotArea dataOnly="0" labelOnly="1" outline="0" fieldPosition="0">
        <references count="1">
          <reference field="38" count="0"/>
        </references>
      </pivotArea>
    </format>
    <format dxfId="260">
      <pivotArea dataOnly="0" labelOnly="1" outline="0" fieldPosition="0">
        <references count="2">
          <reference field="2" count="2">
            <x v="0"/>
            <x v="11"/>
          </reference>
          <reference field="38" count="1" selected="0">
            <x v="0"/>
          </reference>
        </references>
      </pivotArea>
    </format>
    <format dxfId="259">
      <pivotArea dataOnly="0" labelOnly="1" outline="0" fieldPosition="0">
        <references count="2">
          <reference field="2" count="3">
            <x v="4"/>
            <x v="12"/>
            <x v="13"/>
          </reference>
          <reference field="38" count="1" selected="0">
            <x v="1"/>
          </reference>
        </references>
      </pivotArea>
    </format>
    <format dxfId="258">
      <pivotArea dataOnly="0" labelOnly="1" outline="0" fieldPosition="0">
        <references count="2">
          <reference field="2" count="3">
            <x v="8"/>
            <x v="9"/>
            <x v="14"/>
          </reference>
          <reference field="38" count="1" selected="0">
            <x v="2"/>
          </reference>
        </references>
      </pivotArea>
    </format>
    <format dxfId="257">
      <pivotArea dataOnly="0" labelOnly="1" outline="0" fieldPosition="0">
        <references count="2">
          <reference field="2" count="5">
            <x v="1"/>
            <x v="2"/>
            <x v="3"/>
            <x v="17"/>
            <x v="18"/>
          </reference>
          <reference field="38" count="1" selected="0">
            <x v="4"/>
          </reference>
        </references>
      </pivotArea>
    </format>
    <format dxfId="256">
      <pivotArea dataOnly="0" labelOnly="1" outline="0" fieldPosition="0">
        <references count="2">
          <reference field="2" count="3">
            <x v="5"/>
            <x v="6"/>
            <x v="19"/>
          </reference>
          <reference field="38" count="1" selected="0">
            <x v="5"/>
          </reference>
        </references>
      </pivotArea>
    </format>
    <format dxfId="255">
      <pivotArea dataOnly="0" labelOnly="1" outline="0" fieldPosition="0">
        <references count="2">
          <reference field="2" count="1">
            <x v="15"/>
          </reference>
          <reference field="38" count="1" selected="0">
            <x v="7"/>
          </reference>
        </references>
      </pivotArea>
    </format>
    <format dxfId="254">
      <pivotArea dataOnly="0" labelOnly="1" outline="0" fieldPosition="0">
        <references count="3">
          <reference field="2" count="1" selected="0">
            <x v="0"/>
          </reference>
          <reference field="22" count="1">
            <x v="1"/>
          </reference>
          <reference field="38" count="1" selected="0">
            <x v="0"/>
          </reference>
        </references>
      </pivotArea>
    </format>
    <format dxfId="253">
      <pivotArea dataOnly="0" labelOnly="1" outline="0" fieldPosition="0">
        <references count="3">
          <reference field="2" count="1" selected="0">
            <x v="11"/>
          </reference>
          <reference field="22" count="1">
            <x v="2"/>
          </reference>
          <reference field="38" count="1" selected="0">
            <x v="0"/>
          </reference>
        </references>
      </pivotArea>
    </format>
    <format dxfId="252">
      <pivotArea dataOnly="0" labelOnly="1" outline="0" fieldPosition="0">
        <references count="3">
          <reference field="2" count="1" selected="0">
            <x v="4"/>
          </reference>
          <reference field="22" count="1">
            <x v="5"/>
          </reference>
          <reference field="38" count="1" selected="0">
            <x v="1"/>
          </reference>
        </references>
      </pivotArea>
    </format>
    <format dxfId="251">
      <pivotArea dataOnly="0" labelOnly="1" outline="0" fieldPosition="0">
        <references count="3">
          <reference field="2" count="1" selected="0">
            <x v="12"/>
          </reference>
          <reference field="22" count="1">
            <x v="6"/>
          </reference>
          <reference field="38" count="1" selected="0">
            <x v="1"/>
          </reference>
        </references>
      </pivotArea>
    </format>
    <format dxfId="250">
      <pivotArea dataOnly="0" labelOnly="1" outline="0" fieldPosition="0">
        <references count="3">
          <reference field="2" count="1" selected="0">
            <x v="13"/>
          </reference>
          <reference field="22" count="1">
            <x v="4"/>
          </reference>
          <reference field="38" count="1" selected="0">
            <x v="1"/>
          </reference>
        </references>
      </pivotArea>
    </format>
    <format dxfId="249">
      <pivotArea dataOnly="0" labelOnly="1" outline="0" fieldPosition="0">
        <references count="3">
          <reference field="2" count="1" selected="0">
            <x v="8"/>
          </reference>
          <reference field="22" count="1">
            <x v="11"/>
          </reference>
          <reference field="38" count="1" selected="0">
            <x v="2"/>
          </reference>
        </references>
      </pivotArea>
    </format>
    <format dxfId="248">
      <pivotArea dataOnly="0" labelOnly="1" outline="0" fieldPosition="0">
        <references count="3">
          <reference field="2" count="1" selected="0">
            <x v="9"/>
          </reference>
          <reference field="22" count="1">
            <x v="13"/>
          </reference>
          <reference field="38" count="1" selected="0">
            <x v="2"/>
          </reference>
        </references>
      </pivotArea>
    </format>
    <format dxfId="247">
      <pivotArea dataOnly="0" labelOnly="1" outline="0" fieldPosition="0">
        <references count="3">
          <reference field="2" count="1" selected="0">
            <x v="14"/>
          </reference>
          <reference field="22" count="1">
            <x v="12"/>
          </reference>
          <reference field="38" count="1" selected="0">
            <x v="2"/>
          </reference>
        </references>
      </pivotArea>
    </format>
    <format dxfId="246">
      <pivotArea dataOnly="0" labelOnly="1" outline="0" fieldPosition="0">
        <references count="3">
          <reference field="2" count="1" selected="0">
            <x v="1"/>
          </reference>
          <reference field="22" count="1">
            <x v="15"/>
          </reference>
          <reference field="38" count="1" selected="0">
            <x v="4"/>
          </reference>
        </references>
      </pivotArea>
    </format>
    <format dxfId="245">
      <pivotArea dataOnly="0" labelOnly="1" outline="0" fieldPosition="0">
        <references count="3">
          <reference field="2" count="1" selected="0">
            <x v="2"/>
          </reference>
          <reference field="22" count="1">
            <x v="0"/>
          </reference>
          <reference field="38" count="1" selected="0">
            <x v="4"/>
          </reference>
        </references>
      </pivotArea>
    </format>
    <format dxfId="244">
      <pivotArea dataOnly="0" labelOnly="1" outline="0" fieldPosition="0">
        <references count="3">
          <reference field="2" count="1" selected="0">
            <x v="3"/>
          </reference>
          <reference field="22" count="1">
            <x v="8"/>
          </reference>
          <reference field="38" count="1" selected="0">
            <x v="4"/>
          </reference>
        </references>
      </pivotArea>
    </format>
    <format dxfId="243">
      <pivotArea dataOnly="0" labelOnly="1" outline="0" fieldPosition="0">
        <references count="3">
          <reference field="2" count="1" selected="0">
            <x v="17"/>
          </reference>
          <reference field="22" count="1">
            <x v="16"/>
          </reference>
          <reference field="38" count="1" selected="0">
            <x v="4"/>
          </reference>
        </references>
      </pivotArea>
    </format>
    <format dxfId="242">
      <pivotArea dataOnly="0" labelOnly="1" outline="0" fieldPosition="0">
        <references count="3">
          <reference field="2" count="1" selected="0">
            <x v="18"/>
          </reference>
          <reference field="22" count="1">
            <x v="9"/>
          </reference>
          <reference field="38" count="1" selected="0">
            <x v="4"/>
          </reference>
        </references>
      </pivotArea>
    </format>
    <format dxfId="241">
      <pivotArea dataOnly="0" labelOnly="1" outline="0" fieldPosition="0">
        <references count="3">
          <reference field="2" count="1" selected="0">
            <x v="5"/>
          </reference>
          <reference field="22" count="1">
            <x v="10"/>
          </reference>
          <reference field="38" count="1" selected="0">
            <x v="5"/>
          </reference>
        </references>
      </pivotArea>
    </format>
    <format dxfId="240">
      <pivotArea dataOnly="0" labelOnly="1" outline="0" fieldPosition="0">
        <references count="3">
          <reference field="2" count="1" selected="0">
            <x v="6"/>
          </reference>
          <reference field="22" count="1">
            <x v="7"/>
          </reference>
          <reference field="38" count="1" selected="0">
            <x v="5"/>
          </reference>
        </references>
      </pivotArea>
    </format>
    <format dxfId="239">
      <pivotArea dataOnly="0" labelOnly="1" outline="0" fieldPosition="0">
        <references count="3">
          <reference field="2" count="1" selected="0">
            <x v="19"/>
          </reference>
          <reference field="22" count="1">
            <x v="18"/>
          </reference>
          <reference field="38" count="1" selected="0">
            <x v="5"/>
          </reference>
        </references>
      </pivotArea>
    </format>
    <format dxfId="238">
      <pivotArea dataOnly="0" labelOnly="1" outline="0" fieldPosition="0">
        <references count="3">
          <reference field="2" count="1" selected="0">
            <x v="15"/>
          </reference>
          <reference field="22" count="1">
            <x v="3"/>
          </reference>
          <reference field="38" count="1" selected="0">
            <x v="7"/>
          </reference>
        </references>
      </pivotArea>
    </format>
    <format dxfId="237">
      <pivotArea dataOnly="0" labelOnly="1" outline="0" fieldPosition="0">
        <references count="4">
          <reference field="2" count="1" selected="0">
            <x v="0"/>
          </reference>
          <reference field="22" count="1" selected="0">
            <x v="1"/>
          </reference>
          <reference field="35" count="1">
            <x v="1"/>
          </reference>
          <reference field="38" count="1" selected="0">
            <x v="0"/>
          </reference>
        </references>
      </pivotArea>
    </format>
    <format dxfId="236">
      <pivotArea dataOnly="0" labelOnly="1" outline="0" fieldPosition="0">
        <references count="4">
          <reference field="2" count="1" selected="0">
            <x v="11"/>
          </reference>
          <reference field="22" count="1" selected="0">
            <x v="2"/>
          </reference>
          <reference field="35" count="1">
            <x v="13"/>
          </reference>
          <reference field="38" count="1" selected="0">
            <x v="0"/>
          </reference>
        </references>
      </pivotArea>
    </format>
    <format dxfId="235">
      <pivotArea dataOnly="0" labelOnly="1" outline="0" fieldPosition="0">
        <references count="4">
          <reference field="2" count="1" selected="0">
            <x v="4"/>
          </reference>
          <reference field="22" count="1" selected="0">
            <x v="5"/>
          </reference>
          <reference field="35" count="1">
            <x v="5"/>
          </reference>
          <reference field="38" count="1" selected="0">
            <x v="1"/>
          </reference>
        </references>
      </pivotArea>
    </format>
    <format dxfId="234">
      <pivotArea dataOnly="0" labelOnly="1" outline="0" fieldPosition="0">
        <references count="4">
          <reference field="2" count="1" selected="0">
            <x v="12"/>
          </reference>
          <reference field="22" count="1" selected="0">
            <x v="6"/>
          </reference>
          <reference field="35" count="1">
            <x v="17"/>
          </reference>
          <reference field="38" count="1" selected="0">
            <x v="1"/>
          </reference>
        </references>
      </pivotArea>
    </format>
    <format dxfId="233">
      <pivotArea dataOnly="0" labelOnly="1" outline="0" fieldPosition="0">
        <references count="4">
          <reference field="2" count="1" selected="0">
            <x v="13"/>
          </reference>
          <reference field="22" count="1" selected="0">
            <x v="4"/>
          </reference>
          <reference field="35" count="1">
            <x v="18"/>
          </reference>
          <reference field="38" count="1" selected="0">
            <x v="1"/>
          </reference>
        </references>
      </pivotArea>
    </format>
    <format dxfId="232">
      <pivotArea dataOnly="0" labelOnly="1" outline="0" fieldPosition="0">
        <references count="4">
          <reference field="2" count="1" selected="0">
            <x v="8"/>
          </reference>
          <reference field="22" count="1" selected="0">
            <x v="11"/>
          </reference>
          <reference field="35" count="1">
            <x v="8"/>
          </reference>
          <reference field="38" count="1" selected="0">
            <x v="2"/>
          </reference>
        </references>
      </pivotArea>
    </format>
    <format dxfId="231">
      <pivotArea dataOnly="0" labelOnly="1" outline="0" fieldPosition="0">
        <references count="4">
          <reference field="2" count="1" selected="0">
            <x v="9"/>
          </reference>
          <reference field="22" count="1" selected="0">
            <x v="13"/>
          </reference>
          <reference field="35" count="1">
            <x v="4"/>
          </reference>
          <reference field="38" count="1" selected="0">
            <x v="2"/>
          </reference>
        </references>
      </pivotArea>
    </format>
    <format dxfId="230">
      <pivotArea dataOnly="0" labelOnly="1" outline="0" fieldPosition="0">
        <references count="4">
          <reference field="2" count="1" selected="0">
            <x v="14"/>
          </reference>
          <reference field="22" count="1" selected="0">
            <x v="12"/>
          </reference>
          <reference field="35" count="1">
            <x v="6"/>
          </reference>
          <reference field="38" count="1" selected="0">
            <x v="2"/>
          </reference>
        </references>
      </pivotArea>
    </format>
    <format dxfId="229">
      <pivotArea dataOnly="0" labelOnly="1" outline="0" fieldPosition="0">
        <references count="4">
          <reference field="2" count="1" selected="0">
            <x v="1"/>
          </reference>
          <reference field="22" count="1" selected="0">
            <x v="15"/>
          </reference>
          <reference field="35" count="1">
            <x v="11"/>
          </reference>
          <reference field="38" count="1" selected="0">
            <x v="4"/>
          </reference>
        </references>
      </pivotArea>
    </format>
    <format dxfId="228">
      <pivotArea dataOnly="0" labelOnly="1" outline="0" fieldPosition="0">
        <references count="4">
          <reference field="2" count="1" selected="0">
            <x v="2"/>
          </reference>
          <reference field="22" count="1" selected="0">
            <x v="0"/>
          </reference>
          <reference field="35" count="1">
            <x v="3"/>
          </reference>
          <reference field="38" count="1" selected="0">
            <x v="4"/>
          </reference>
        </references>
      </pivotArea>
    </format>
    <format dxfId="227">
      <pivotArea dataOnly="0" labelOnly="1" outline="0" fieldPosition="0">
        <references count="4">
          <reference field="2" count="1" selected="0">
            <x v="3"/>
          </reference>
          <reference field="22" count="1" selected="0">
            <x v="8"/>
          </reference>
          <reference field="35" count="1">
            <x v="2"/>
          </reference>
          <reference field="38" count="1" selected="0">
            <x v="4"/>
          </reference>
        </references>
      </pivotArea>
    </format>
    <format dxfId="226">
      <pivotArea dataOnly="0" labelOnly="1" outline="0" fieldPosition="0">
        <references count="4">
          <reference field="2" count="1" selected="0">
            <x v="17"/>
          </reference>
          <reference field="22" count="1" selected="0">
            <x v="16"/>
          </reference>
          <reference field="35" count="1">
            <x v="15"/>
          </reference>
          <reference field="38" count="1" selected="0">
            <x v="4"/>
          </reference>
        </references>
      </pivotArea>
    </format>
    <format dxfId="225">
      <pivotArea dataOnly="0" labelOnly="1" outline="0" fieldPosition="0">
        <references count="4">
          <reference field="2" count="1" selected="0">
            <x v="18"/>
          </reference>
          <reference field="22" count="1" selected="0">
            <x v="9"/>
          </reference>
          <reference field="35" count="1">
            <x v="12"/>
          </reference>
          <reference field="38" count="1" selected="0">
            <x v="4"/>
          </reference>
        </references>
      </pivotArea>
    </format>
    <format dxfId="224">
      <pivotArea dataOnly="0" labelOnly="1" outline="0" fieldPosition="0">
        <references count="4">
          <reference field="2" count="1" selected="0">
            <x v="5"/>
          </reference>
          <reference field="22" count="1" selected="0">
            <x v="10"/>
          </reference>
          <reference field="35" count="1">
            <x v="9"/>
          </reference>
          <reference field="38" count="1" selected="0">
            <x v="5"/>
          </reference>
        </references>
      </pivotArea>
    </format>
    <format dxfId="223">
      <pivotArea dataOnly="0" labelOnly="1" outline="0" fieldPosition="0">
        <references count="4">
          <reference field="2" count="1" selected="0">
            <x v="6"/>
          </reference>
          <reference field="22" count="1" selected="0">
            <x v="7"/>
          </reference>
          <reference field="35" count="1">
            <x v="10"/>
          </reference>
          <reference field="38" count="1" selected="0">
            <x v="5"/>
          </reference>
        </references>
      </pivotArea>
    </format>
    <format dxfId="222">
      <pivotArea dataOnly="0" labelOnly="1" outline="0" fieldPosition="0">
        <references count="4">
          <reference field="2" count="1" selected="0">
            <x v="19"/>
          </reference>
          <reference field="22" count="1" selected="0">
            <x v="18"/>
          </reference>
          <reference field="35" count="1">
            <x v="16"/>
          </reference>
          <reference field="38" count="1" selected="0">
            <x v="5"/>
          </reference>
        </references>
      </pivotArea>
    </format>
    <format dxfId="221">
      <pivotArea dataOnly="0" labelOnly="1" outline="0" fieldPosition="0">
        <references count="4">
          <reference field="2" count="1" selected="0">
            <x v="15"/>
          </reference>
          <reference field="22" count="1" selected="0">
            <x v="3"/>
          </reference>
          <reference field="35" count="1">
            <x v="19"/>
          </reference>
          <reference field="38" count="1" selected="0">
            <x v="7"/>
          </reference>
        </references>
      </pivotArea>
    </format>
    <format dxfId="220">
      <pivotArea dataOnly="0" labelOnly="1" outline="0" axis="axisValues" fieldPosition="0"/>
    </format>
    <format dxfId="219">
      <pivotArea outline="0" fieldPosition="0">
        <references count="4">
          <reference field="2" count="17" selected="0">
            <x v="0"/>
            <x v="1"/>
            <x v="2"/>
            <x v="3"/>
            <x v="4"/>
            <x v="5"/>
            <x v="6"/>
            <x v="8"/>
            <x v="9"/>
            <x v="11"/>
            <x v="12"/>
            <x v="13"/>
            <x v="14"/>
            <x v="15"/>
            <x v="17"/>
            <x v="18"/>
            <x v="19"/>
          </reference>
          <reference field="22" count="17" selected="0">
            <x v="0"/>
            <x v="1"/>
            <x v="2"/>
            <x v="3"/>
            <x v="4"/>
            <x v="5"/>
            <x v="6"/>
            <x v="7"/>
            <x v="8"/>
            <x v="9"/>
            <x v="10"/>
            <x v="11"/>
            <x v="12"/>
            <x v="13"/>
            <x v="15"/>
            <x v="16"/>
            <x v="18"/>
          </reference>
          <reference field="35" count="17" selected="0">
            <x v="1"/>
            <x v="2"/>
            <x v="3"/>
            <x v="4"/>
            <x v="5"/>
            <x v="6"/>
            <x v="8"/>
            <x v="9"/>
            <x v="10"/>
            <x v="11"/>
            <x v="12"/>
            <x v="13"/>
            <x v="15"/>
            <x v="16"/>
            <x v="17"/>
            <x v="18"/>
            <x v="19"/>
          </reference>
          <reference field="38" count="0" selected="0"/>
        </references>
      </pivotArea>
    </format>
    <format dxfId="218">
      <pivotArea field="38" type="button" dataOnly="0" labelOnly="1" outline="0" axis="axisRow" fieldPosition="0"/>
    </format>
    <format dxfId="217">
      <pivotArea field="2" type="button" dataOnly="0" labelOnly="1" outline="0" axis="axisRow" fieldPosition="1"/>
    </format>
    <format dxfId="216">
      <pivotArea field="22" type="button" dataOnly="0" labelOnly="1" outline="0" axis="axisRow" fieldPosition="2"/>
    </format>
    <format dxfId="215">
      <pivotArea field="35" type="button" dataOnly="0" labelOnly="1" outline="0" axis="axisRow" fieldPosition="3"/>
    </format>
    <format dxfId="214">
      <pivotArea dataOnly="0" labelOnly="1" outline="0" fieldPosition="0">
        <references count="1">
          <reference field="38" count="0"/>
        </references>
      </pivotArea>
    </format>
    <format dxfId="213">
      <pivotArea dataOnly="0" labelOnly="1" outline="0" fieldPosition="0">
        <references count="2">
          <reference field="2" count="2">
            <x v="0"/>
            <x v="11"/>
          </reference>
          <reference field="38" count="1" selected="0">
            <x v="0"/>
          </reference>
        </references>
      </pivotArea>
    </format>
    <format dxfId="212">
      <pivotArea dataOnly="0" labelOnly="1" outline="0" fieldPosition="0">
        <references count="2">
          <reference field="2" count="3">
            <x v="4"/>
            <x v="12"/>
            <x v="13"/>
          </reference>
          <reference field="38" count="1" selected="0">
            <x v="1"/>
          </reference>
        </references>
      </pivotArea>
    </format>
    <format dxfId="211">
      <pivotArea dataOnly="0" labelOnly="1" outline="0" fieldPosition="0">
        <references count="2">
          <reference field="2" count="3">
            <x v="8"/>
            <x v="9"/>
            <x v="14"/>
          </reference>
          <reference field="38" count="1" selected="0">
            <x v="2"/>
          </reference>
        </references>
      </pivotArea>
    </format>
    <format dxfId="210">
      <pivotArea dataOnly="0" labelOnly="1" outline="0" fieldPosition="0">
        <references count="2">
          <reference field="2" count="5">
            <x v="1"/>
            <x v="2"/>
            <x v="3"/>
            <x v="17"/>
            <x v="18"/>
          </reference>
          <reference field="38" count="1" selected="0">
            <x v="4"/>
          </reference>
        </references>
      </pivotArea>
    </format>
    <format dxfId="209">
      <pivotArea dataOnly="0" labelOnly="1" outline="0" fieldPosition="0">
        <references count="2">
          <reference field="2" count="3">
            <x v="5"/>
            <x v="6"/>
            <x v="19"/>
          </reference>
          <reference field="38" count="1" selected="0">
            <x v="5"/>
          </reference>
        </references>
      </pivotArea>
    </format>
    <format dxfId="208">
      <pivotArea dataOnly="0" labelOnly="1" outline="0" fieldPosition="0">
        <references count="2">
          <reference field="2" count="1">
            <x v="15"/>
          </reference>
          <reference field="38" count="1" selected="0">
            <x v="7"/>
          </reference>
        </references>
      </pivotArea>
    </format>
    <format dxfId="207">
      <pivotArea dataOnly="0" labelOnly="1" outline="0" fieldPosition="0">
        <references count="3">
          <reference field="2" count="1" selected="0">
            <x v="0"/>
          </reference>
          <reference field="22" count="1">
            <x v="1"/>
          </reference>
          <reference field="38" count="1" selected="0">
            <x v="0"/>
          </reference>
        </references>
      </pivotArea>
    </format>
    <format dxfId="206">
      <pivotArea dataOnly="0" labelOnly="1" outline="0" fieldPosition="0">
        <references count="3">
          <reference field="2" count="1" selected="0">
            <x v="11"/>
          </reference>
          <reference field="22" count="1">
            <x v="2"/>
          </reference>
          <reference field="38" count="1" selected="0">
            <x v="0"/>
          </reference>
        </references>
      </pivotArea>
    </format>
    <format dxfId="205">
      <pivotArea dataOnly="0" labelOnly="1" outline="0" fieldPosition="0">
        <references count="3">
          <reference field="2" count="1" selected="0">
            <x v="4"/>
          </reference>
          <reference field="22" count="1">
            <x v="5"/>
          </reference>
          <reference field="38" count="1" selected="0">
            <x v="1"/>
          </reference>
        </references>
      </pivotArea>
    </format>
    <format dxfId="204">
      <pivotArea dataOnly="0" labelOnly="1" outline="0" fieldPosition="0">
        <references count="3">
          <reference field="2" count="1" selected="0">
            <x v="12"/>
          </reference>
          <reference field="22" count="1">
            <x v="6"/>
          </reference>
          <reference field="38" count="1" selected="0">
            <x v="1"/>
          </reference>
        </references>
      </pivotArea>
    </format>
    <format dxfId="203">
      <pivotArea dataOnly="0" labelOnly="1" outline="0" fieldPosition="0">
        <references count="3">
          <reference field="2" count="1" selected="0">
            <x v="13"/>
          </reference>
          <reference field="22" count="1">
            <x v="4"/>
          </reference>
          <reference field="38" count="1" selected="0">
            <x v="1"/>
          </reference>
        </references>
      </pivotArea>
    </format>
    <format dxfId="202">
      <pivotArea dataOnly="0" labelOnly="1" outline="0" fieldPosition="0">
        <references count="3">
          <reference field="2" count="1" selected="0">
            <x v="8"/>
          </reference>
          <reference field="22" count="1">
            <x v="11"/>
          </reference>
          <reference field="38" count="1" selected="0">
            <x v="2"/>
          </reference>
        </references>
      </pivotArea>
    </format>
    <format dxfId="201">
      <pivotArea dataOnly="0" labelOnly="1" outline="0" fieldPosition="0">
        <references count="3">
          <reference field="2" count="1" selected="0">
            <x v="9"/>
          </reference>
          <reference field="22" count="1">
            <x v="13"/>
          </reference>
          <reference field="38" count="1" selected="0">
            <x v="2"/>
          </reference>
        </references>
      </pivotArea>
    </format>
    <format dxfId="200">
      <pivotArea dataOnly="0" labelOnly="1" outline="0" fieldPosition="0">
        <references count="3">
          <reference field="2" count="1" selected="0">
            <x v="14"/>
          </reference>
          <reference field="22" count="1">
            <x v="12"/>
          </reference>
          <reference field="38" count="1" selected="0">
            <x v="2"/>
          </reference>
        </references>
      </pivotArea>
    </format>
    <format dxfId="199">
      <pivotArea dataOnly="0" labelOnly="1" outline="0" fieldPosition="0">
        <references count="3">
          <reference field="2" count="1" selected="0">
            <x v="1"/>
          </reference>
          <reference field="22" count="1">
            <x v="15"/>
          </reference>
          <reference field="38" count="1" selected="0">
            <x v="4"/>
          </reference>
        </references>
      </pivotArea>
    </format>
    <format dxfId="198">
      <pivotArea dataOnly="0" labelOnly="1" outline="0" fieldPosition="0">
        <references count="3">
          <reference field="2" count="1" selected="0">
            <x v="2"/>
          </reference>
          <reference field="22" count="1">
            <x v="0"/>
          </reference>
          <reference field="38" count="1" selected="0">
            <x v="4"/>
          </reference>
        </references>
      </pivotArea>
    </format>
    <format dxfId="197">
      <pivotArea dataOnly="0" labelOnly="1" outline="0" fieldPosition="0">
        <references count="3">
          <reference field="2" count="1" selected="0">
            <x v="3"/>
          </reference>
          <reference field="22" count="1">
            <x v="8"/>
          </reference>
          <reference field="38" count="1" selected="0">
            <x v="4"/>
          </reference>
        </references>
      </pivotArea>
    </format>
    <format dxfId="196">
      <pivotArea dataOnly="0" labelOnly="1" outline="0" fieldPosition="0">
        <references count="3">
          <reference field="2" count="1" selected="0">
            <x v="17"/>
          </reference>
          <reference field="22" count="1">
            <x v="16"/>
          </reference>
          <reference field="38" count="1" selected="0">
            <x v="4"/>
          </reference>
        </references>
      </pivotArea>
    </format>
    <format dxfId="195">
      <pivotArea dataOnly="0" labelOnly="1" outline="0" fieldPosition="0">
        <references count="3">
          <reference field="2" count="1" selected="0">
            <x v="18"/>
          </reference>
          <reference field="22" count="1">
            <x v="9"/>
          </reference>
          <reference field="38" count="1" selected="0">
            <x v="4"/>
          </reference>
        </references>
      </pivotArea>
    </format>
    <format dxfId="194">
      <pivotArea dataOnly="0" labelOnly="1" outline="0" fieldPosition="0">
        <references count="3">
          <reference field="2" count="1" selected="0">
            <x v="5"/>
          </reference>
          <reference field="22" count="1">
            <x v="10"/>
          </reference>
          <reference field="38" count="1" selected="0">
            <x v="5"/>
          </reference>
        </references>
      </pivotArea>
    </format>
    <format dxfId="193">
      <pivotArea dataOnly="0" labelOnly="1" outline="0" fieldPosition="0">
        <references count="3">
          <reference field="2" count="1" selected="0">
            <x v="6"/>
          </reference>
          <reference field="22" count="1">
            <x v="7"/>
          </reference>
          <reference field="38" count="1" selected="0">
            <x v="5"/>
          </reference>
        </references>
      </pivotArea>
    </format>
    <format dxfId="192">
      <pivotArea dataOnly="0" labelOnly="1" outline="0" fieldPosition="0">
        <references count="3">
          <reference field="2" count="1" selected="0">
            <x v="19"/>
          </reference>
          <reference field="22" count="1">
            <x v="18"/>
          </reference>
          <reference field="38" count="1" selected="0">
            <x v="5"/>
          </reference>
        </references>
      </pivotArea>
    </format>
    <format dxfId="191">
      <pivotArea dataOnly="0" labelOnly="1" outline="0" fieldPosition="0">
        <references count="3">
          <reference field="2" count="1" selected="0">
            <x v="15"/>
          </reference>
          <reference field="22" count="1">
            <x v="3"/>
          </reference>
          <reference field="38" count="1" selected="0">
            <x v="7"/>
          </reference>
        </references>
      </pivotArea>
    </format>
    <format dxfId="190">
      <pivotArea dataOnly="0" labelOnly="1" outline="0" fieldPosition="0">
        <references count="4">
          <reference field="2" count="1" selected="0">
            <x v="0"/>
          </reference>
          <reference field="22" count="1" selected="0">
            <x v="1"/>
          </reference>
          <reference field="35" count="1">
            <x v="1"/>
          </reference>
          <reference field="38" count="1" selected="0">
            <x v="0"/>
          </reference>
        </references>
      </pivotArea>
    </format>
    <format dxfId="189">
      <pivotArea dataOnly="0" labelOnly="1" outline="0" fieldPosition="0">
        <references count="4">
          <reference field="2" count="1" selected="0">
            <x v="11"/>
          </reference>
          <reference field="22" count="1" selected="0">
            <x v="2"/>
          </reference>
          <reference field="35" count="1">
            <x v="13"/>
          </reference>
          <reference field="38" count="1" selected="0">
            <x v="0"/>
          </reference>
        </references>
      </pivotArea>
    </format>
    <format dxfId="188">
      <pivotArea dataOnly="0" labelOnly="1" outline="0" fieldPosition="0">
        <references count="4">
          <reference field="2" count="1" selected="0">
            <x v="4"/>
          </reference>
          <reference field="22" count="1" selected="0">
            <x v="5"/>
          </reference>
          <reference field="35" count="1">
            <x v="5"/>
          </reference>
          <reference field="38" count="1" selected="0">
            <x v="1"/>
          </reference>
        </references>
      </pivotArea>
    </format>
    <format dxfId="187">
      <pivotArea dataOnly="0" labelOnly="1" outline="0" fieldPosition="0">
        <references count="4">
          <reference field="2" count="1" selected="0">
            <x v="12"/>
          </reference>
          <reference field="22" count="1" selected="0">
            <x v="6"/>
          </reference>
          <reference field="35" count="1">
            <x v="17"/>
          </reference>
          <reference field="38" count="1" selected="0">
            <x v="1"/>
          </reference>
        </references>
      </pivotArea>
    </format>
    <format dxfId="186">
      <pivotArea dataOnly="0" labelOnly="1" outline="0" fieldPosition="0">
        <references count="4">
          <reference field="2" count="1" selected="0">
            <x v="13"/>
          </reference>
          <reference field="22" count="1" selected="0">
            <x v="4"/>
          </reference>
          <reference field="35" count="1">
            <x v="18"/>
          </reference>
          <reference field="38" count="1" selected="0">
            <x v="1"/>
          </reference>
        </references>
      </pivotArea>
    </format>
    <format dxfId="185">
      <pivotArea dataOnly="0" labelOnly="1" outline="0" fieldPosition="0">
        <references count="4">
          <reference field="2" count="1" selected="0">
            <x v="8"/>
          </reference>
          <reference field="22" count="1" selected="0">
            <x v="11"/>
          </reference>
          <reference field="35" count="1">
            <x v="8"/>
          </reference>
          <reference field="38" count="1" selected="0">
            <x v="2"/>
          </reference>
        </references>
      </pivotArea>
    </format>
    <format dxfId="184">
      <pivotArea dataOnly="0" labelOnly="1" outline="0" fieldPosition="0">
        <references count="4">
          <reference field="2" count="1" selected="0">
            <x v="9"/>
          </reference>
          <reference field="22" count="1" selected="0">
            <x v="13"/>
          </reference>
          <reference field="35" count="1">
            <x v="4"/>
          </reference>
          <reference field="38" count="1" selected="0">
            <x v="2"/>
          </reference>
        </references>
      </pivotArea>
    </format>
    <format dxfId="183">
      <pivotArea dataOnly="0" labelOnly="1" outline="0" fieldPosition="0">
        <references count="4">
          <reference field="2" count="1" selected="0">
            <x v="14"/>
          </reference>
          <reference field="22" count="1" selected="0">
            <x v="12"/>
          </reference>
          <reference field="35" count="1">
            <x v="6"/>
          </reference>
          <reference field="38" count="1" selected="0">
            <x v="2"/>
          </reference>
        </references>
      </pivotArea>
    </format>
    <format dxfId="182">
      <pivotArea dataOnly="0" labelOnly="1" outline="0" fieldPosition="0">
        <references count="4">
          <reference field="2" count="1" selected="0">
            <x v="1"/>
          </reference>
          <reference field="22" count="1" selected="0">
            <x v="15"/>
          </reference>
          <reference field="35" count="1">
            <x v="11"/>
          </reference>
          <reference field="38" count="1" selected="0">
            <x v="4"/>
          </reference>
        </references>
      </pivotArea>
    </format>
    <format dxfId="181">
      <pivotArea dataOnly="0" labelOnly="1" outline="0" fieldPosition="0">
        <references count="4">
          <reference field="2" count="1" selected="0">
            <x v="2"/>
          </reference>
          <reference field="22" count="1" selected="0">
            <x v="0"/>
          </reference>
          <reference field="35" count="1">
            <x v="3"/>
          </reference>
          <reference field="38" count="1" selected="0">
            <x v="4"/>
          </reference>
        </references>
      </pivotArea>
    </format>
    <format dxfId="180">
      <pivotArea dataOnly="0" labelOnly="1" outline="0" fieldPosition="0">
        <references count="4">
          <reference field="2" count="1" selected="0">
            <x v="3"/>
          </reference>
          <reference field="22" count="1" selected="0">
            <x v="8"/>
          </reference>
          <reference field="35" count="1">
            <x v="2"/>
          </reference>
          <reference field="38" count="1" selected="0">
            <x v="4"/>
          </reference>
        </references>
      </pivotArea>
    </format>
    <format dxfId="179">
      <pivotArea dataOnly="0" labelOnly="1" outline="0" fieldPosition="0">
        <references count="4">
          <reference field="2" count="1" selected="0">
            <x v="17"/>
          </reference>
          <reference field="22" count="1" selected="0">
            <x v="16"/>
          </reference>
          <reference field="35" count="1">
            <x v="15"/>
          </reference>
          <reference field="38" count="1" selected="0">
            <x v="4"/>
          </reference>
        </references>
      </pivotArea>
    </format>
    <format dxfId="178">
      <pivotArea dataOnly="0" labelOnly="1" outline="0" fieldPosition="0">
        <references count="4">
          <reference field="2" count="1" selected="0">
            <x v="18"/>
          </reference>
          <reference field="22" count="1" selected="0">
            <x v="9"/>
          </reference>
          <reference field="35" count="1">
            <x v="12"/>
          </reference>
          <reference field="38" count="1" selected="0">
            <x v="4"/>
          </reference>
        </references>
      </pivotArea>
    </format>
    <format dxfId="177">
      <pivotArea dataOnly="0" labelOnly="1" outline="0" fieldPosition="0">
        <references count="4">
          <reference field="2" count="1" selected="0">
            <x v="5"/>
          </reference>
          <reference field="22" count="1" selected="0">
            <x v="10"/>
          </reference>
          <reference field="35" count="1">
            <x v="9"/>
          </reference>
          <reference field="38" count="1" selected="0">
            <x v="5"/>
          </reference>
        </references>
      </pivotArea>
    </format>
    <format dxfId="176">
      <pivotArea dataOnly="0" labelOnly="1" outline="0" fieldPosition="0">
        <references count="4">
          <reference field="2" count="1" selected="0">
            <x v="6"/>
          </reference>
          <reference field="22" count="1" selected="0">
            <x v="7"/>
          </reference>
          <reference field="35" count="1">
            <x v="10"/>
          </reference>
          <reference field="38" count="1" selected="0">
            <x v="5"/>
          </reference>
        </references>
      </pivotArea>
    </format>
    <format dxfId="175">
      <pivotArea dataOnly="0" labelOnly="1" outline="0" fieldPosition="0">
        <references count="4">
          <reference field="2" count="1" selected="0">
            <x v="19"/>
          </reference>
          <reference field="22" count="1" selected="0">
            <x v="18"/>
          </reference>
          <reference field="35" count="1">
            <x v="16"/>
          </reference>
          <reference field="38" count="1" selected="0">
            <x v="5"/>
          </reference>
        </references>
      </pivotArea>
    </format>
    <format dxfId="174">
      <pivotArea dataOnly="0" labelOnly="1" outline="0" fieldPosition="0">
        <references count="4">
          <reference field="2" count="1" selected="0">
            <x v="15"/>
          </reference>
          <reference field="22" count="1" selected="0">
            <x v="3"/>
          </reference>
          <reference field="35" count="1">
            <x v="19"/>
          </reference>
          <reference field="38" count="1" selected="0">
            <x v="7"/>
          </reference>
        </references>
      </pivotArea>
    </format>
    <format dxfId="173">
      <pivotArea dataOnly="0" labelOnly="1" outline="0" axis="axisValues" fieldPosition="0"/>
    </format>
    <format dxfId="172">
      <pivotArea type="all" dataOnly="0" outline="0" fieldPosition="0"/>
    </format>
    <format dxfId="171">
      <pivotArea outline="0" collapsedLevelsAreSubtotals="1" fieldPosition="0"/>
    </format>
    <format dxfId="170">
      <pivotArea field="38" type="button" dataOnly="0" labelOnly="1" outline="0" axis="axisRow" fieldPosition="0"/>
    </format>
    <format dxfId="169">
      <pivotArea field="2" type="button" dataOnly="0" labelOnly="1" outline="0" axis="axisRow" fieldPosition="1"/>
    </format>
    <format dxfId="168">
      <pivotArea field="22" type="button" dataOnly="0" labelOnly="1" outline="0" axis="axisRow" fieldPosition="2"/>
    </format>
    <format dxfId="167">
      <pivotArea field="35" type="button" dataOnly="0" labelOnly="1" outline="0" axis="axisRow" fieldPosition="3"/>
    </format>
    <format dxfId="166">
      <pivotArea dataOnly="0" labelOnly="1" outline="0" fieldPosition="0">
        <references count="1">
          <reference field="38" count="0"/>
        </references>
      </pivotArea>
    </format>
    <format dxfId="165">
      <pivotArea dataOnly="0" labelOnly="1" grandRow="1" outline="0" fieldPosition="0"/>
    </format>
    <format dxfId="164">
      <pivotArea dataOnly="0" labelOnly="1" outline="0" fieldPosition="0">
        <references count="2">
          <reference field="2" count="2">
            <x v="0"/>
            <x v="11"/>
          </reference>
          <reference field="38" count="1" selected="0">
            <x v="0"/>
          </reference>
        </references>
      </pivotArea>
    </format>
    <format dxfId="163">
      <pivotArea dataOnly="0" labelOnly="1" outline="0" fieldPosition="0">
        <references count="2">
          <reference field="2" count="3">
            <x v="4"/>
            <x v="12"/>
            <x v="13"/>
          </reference>
          <reference field="38" count="1" selected="0">
            <x v="1"/>
          </reference>
        </references>
      </pivotArea>
    </format>
    <format dxfId="162">
      <pivotArea dataOnly="0" labelOnly="1" outline="0" fieldPosition="0">
        <references count="2">
          <reference field="2" count="3">
            <x v="8"/>
            <x v="9"/>
            <x v="14"/>
          </reference>
          <reference field="38" count="1" selected="0">
            <x v="2"/>
          </reference>
        </references>
      </pivotArea>
    </format>
    <format dxfId="161">
      <pivotArea dataOnly="0" labelOnly="1" outline="0" fieldPosition="0">
        <references count="2">
          <reference field="2" count="5">
            <x v="1"/>
            <x v="2"/>
            <x v="3"/>
            <x v="17"/>
            <x v="18"/>
          </reference>
          <reference field="38" count="1" selected="0">
            <x v="4"/>
          </reference>
        </references>
      </pivotArea>
    </format>
    <format dxfId="160">
      <pivotArea dataOnly="0" labelOnly="1" outline="0" fieldPosition="0">
        <references count="2">
          <reference field="2" count="3">
            <x v="5"/>
            <x v="6"/>
            <x v="19"/>
          </reference>
          <reference field="38" count="1" selected="0">
            <x v="5"/>
          </reference>
        </references>
      </pivotArea>
    </format>
    <format dxfId="159">
      <pivotArea dataOnly="0" labelOnly="1" outline="0" fieldPosition="0">
        <references count="2">
          <reference field="2" count="1">
            <x v="15"/>
          </reference>
          <reference field="38" count="1" selected="0">
            <x v="7"/>
          </reference>
        </references>
      </pivotArea>
    </format>
    <format dxfId="158">
      <pivotArea dataOnly="0" labelOnly="1" outline="0" fieldPosition="0">
        <references count="3">
          <reference field="2" count="1" selected="0">
            <x v="0"/>
          </reference>
          <reference field="22" count="1">
            <x v="1"/>
          </reference>
          <reference field="38" count="1" selected="0">
            <x v="0"/>
          </reference>
        </references>
      </pivotArea>
    </format>
    <format dxfId="157">
      <pivotArea dataOnly="0" labelOnly="1" outline="0" fieldPosition="0">
        <references count="3">
          <reference field="2" count="1" selected="0">
            <x v="11"/>
          </reference>
          <reference field="22" count="1">
            <x v="2"/>
          </reference>
          <reference field="38" count="1" selected="0">
            <x v="0"/>
          </reference>
        </references>
      </pivotArea>
    </format>
    <format dxfId="156">
      <pivotArea dataOnly="0" labelOnly="1" outline="0" fieldPosition="0">
        <references count="3">
          <reference field="2" count="1" selected="0">
            <x v="4"/>
          </reference>
          <reference field="22" count="1">
            <x v="5"/>
          </reference>
          <reference field="38" count="1" selected="0">
            <x v="1"/>
          </reference>
        </references>
      </pivotArea>
    </format>
    <format dxfId="155">
      <pivotArea dataOnly="0" labelOnly="1" outline="0" fieldPosition="0">
        <references count="3">
          <reference field="2" count="1" selected="0">
            <x v="12"/>
          </reference>
          <reference field="22" count="1">
            <x v="6"/>
          </reference>
          <reference field="38" count="1" selected="0">
            <x v="1"/>
          </reference>
        </references>
      </pivotArea>
    </format>
    <format dxfId="154">
      <pivotArea dataOnly="0" labelOnly="1" outline="0" fieldPosition="0">
        <references count="3">
          <reference field="2" count="1" selected="0">
            <x v="13"/>
          </reference>
          <reference field="22" count="1">
            <x v="4"/>
          </reference>
          <reference field="38" count="1" selected="0">
            <x v="1"/>
          </reference>
        </references>
      </pivotArea>
    </format>
    <format dxfId="153">
      <pivotArea dataOnly="0" labelOnly="1" outline="0" fieldPosition="0">
        <references count="3">
          <reference field="2" count="1" selected="0">
            <x v="8"/>
          </reference>
          <reference field="22" count="1">
            <x v="11"/>
          </reference>
          <reference field="38" count="1" selected="0">
            <x v="2"/>
          </reference>
        </references>
      </pivotArea>
    </format>
    <format dxfId="152">
      <pivotArea dataOnly="0" labelOnly="1" outline="0" fieldPosition="0">
        <references count="3">
          <reference field="2" count="1" selected="0">
            <x v="9"/>
          </reference>
          <reference field="22" count="1">
            <x v="13"/>
          </reference>
          <reference field="38" count="1" selected="0">
            <x v="2"/>
          </reference>
        </references>
      </pivotArea>
    </format>
    <format dxfId="151">
      <pivotArea dataOnly="0" labelOnly="1" outline="0" fieldPosition="0">
        <references count="3">
          <reference field="2" count="1" selected="0">
            <x v="14"/>
          </reference>
          <reference field="22" count="1">
            <x v="12"/>
          </reference>
          <reference field="38" count="1" selected="0">
            <x v="2"/>
          </reference>
        </references>
      </pivotArea>
    </format>
    <format dxfId="150">
      <pivotArea dataOnly="0" labelOnly="1" outline="0" fieldPosition="0">
        <references count="3">
          <reference field="2" count="1" selected="0">
            <x v="1"/>
          </reference>
          <reference field="22" count="1">
            <x v="15"/>
          </reference>
          <reference field="38" count="1" selected="0">
            <x v="4"/>
          </reference>
        </references>
      </pivotArea>
    </format>
    <format dxfId="149">
      <pivotArea dataOnly="0" labelOnly="1" outline="0" fieldPosition="0">
        <references count="3">
          <reference field="2" count="1" selected="0">
            <x v="2"/>
          </reference>
          <reference field="22" count="1">
            <x v="0"/>
          </reference>
          <reference field="38" count="1" selected="0">
            <x v="4"/>
          </reference>
        </references>
      </pivotArea>
    </format>
    <format dxfId="148">
      <pivotArea dataOnly="0" labelOnly="1" outline="0" fieldPosition="0">
        <references count="3">
          <reference field="2" count="1" selected="0">
            <x v="3"/>
          </reference>
          <reference field="22" count="1">
            <x v="8"/>
          </reference>
          <reference field="38" count="1" selected="0">
            <x v="4"/>
          </reference>
        </references>
      </pivotArea>
    </format>
    <format dxfId="147">
      <pivotArea dataOnly="0" labelOnly="1" outline="0" fieldPosition="0">
        <references count="3">
          <reference field="2" count="1" selected="0">
            <x v="17"/>
          </reference>
          <reference field="22" count="1">
            <x v="16"/>
          </reference>
          <reference field="38" count="1" selected="0">
            <x v="4"/>
          </reference>
        </references>
      </pivotArea>
    </format>
    <format dxfId="146">
      <pivotArea dataOnly="0" labelOnly="1" outline="0" fieldPosition="0">
        <references count="3">
          <reference field="2" count="1" selected="0">
            <x v="18"/>
          </reference>
          <reference field="22" count="1">
            <x v="9"/>
          </reference>
          <reference field="38" count="1" selected="0">
            <x v="4"/>
          </reference>
        </references>
      </pivotArea>
    </format>
    <format dxfId="145">
      <pivotArea dataOnly="0" labelOnly="1" outline="0" fieldPosition="0">
        <references count="3">
          <reference field="2" count="1" selected="0">
            <x v="5"/>
          </reference>
          <reference field="22" count="1">
            <x v="10"/>
          </reference>
          <reference field="38" count="1" selected="0">
            <x v="5"/>
          </reference>
        </references>
      </pivotArea>
    </format>
    <format dxfId="144">
      <pivotArea dataOnly="0" labelOnly="1" outline="0" fieldPosition="0">
        <references count="3">
          <reference field="2" count="1" selected="0">
            <x v="6"/>
          </reference>
          <reference field="22" count="1">
            <x v="7"/>
          </reference>
          <reference field="38" count="1" selected="0">
            <x v="5"/>
          </reference>
        </references>
      </pivotArea>
    </format>
    <format dxfId="143">
      <pivotArea dataOnly="0" labelOnly="1" outline="0" fieldPosition="0">
        <references count="3">
          <reference field="2" count="1" selected="0">
            <x v="19"/>
          </reference>
          <reference field="22" count="1">
            <x v="18"/>
          </reference>
          <reference field="38" count="1" selected="0">
            <x v="5"/>
          </reference>
        </references>
      </pivotArea>
    </format>
    <format dxfId="142">
      <pivotArea dataOnly="0" labelOnly="1" outline="0" fieldPosition="0">
        <references count="3">
          <reference field="2" count="1" selected="0">
            <x v="15"/>
          </reference>
          <reference field="22" count="1">
            <x v="3"/>
          </reference>
          <reference field="38" count="1" selected="0">
            <x v="7"/>
          </reference>
        </references>
      </pivotArea>
    </format>
    <format dxfId="141">
      <pivotArea dataOnly="0" labelOnly="1" outline="0" fieldPosition="0">
        <references count="4">
          <reference field="2" count="1" selected="0">
            <x v="0"/>
          </reference>
          <reference field="22" count="1" selected="0">
            <x v="1"/>
          </reference>
          <reference field="35" count="1">
            <x v="1"/>
          </reference>
          <reference field="38" count="1" selected="0">
            <x v="0"/>
          </reference>
        </references>
      </pivotArea>
    </format>
    <format dxfId="140">
      <pivotArea dataOnly="0" labelOnly="1" outline="0" fieldPosition="0">
        <references count="4">
          <reference field="2" count="1" selected="0">
            <x v="11"/>
          </reference>
          <reference field="22" count="1" selected="0">
            <x v="2"/>
          </reference>
          <reference field="35" count="1">
            <x v="13"/>
          </reference>
          <reference field="38" count="1" selected="0">
            <x v="0"/>
          </reference>
        </references>
      </pivotArea>
    </format>
    <format dxfId="139">
      <pivotArea dataOnly="0" labelOnly="1" outline="0" fieldPosition="0">
        <references count="4">
          <reference field="2" count="1" selected="0">
            <x v="4"/>
          </reference>
          <reference field="22" count="1" selected="0">
            <x v="5"/>
          </reference>
          <reference field="35" count="1">
            <x v="5"/>
          </reference>
          <reference field="38" count="1" selected="0">
            <x v="1"/>
          </reference>
        </references>
      </pivotArea>
    </format>
    <format dxfId="138">
      <pivotArea dataOnly="0" labelOnly="1" outline="0" fieldPosition="0">
        <references count="4">
          <reference field="2" count="1" selected="0">
            <x v="12"/>
          </reference>
          <reference field="22" count="1" selected="0">
            <x v="6"/>
          </reference>
          <reference field="35" count="1">
            <x v="17"/>
          </reference>
          <reference field="38" count="1" selected="0">
            <x v="1"/>
          </reference>
        </references>
      </pivotArea>
    </format>
    <format dxfId="137">
      <pivotArea dataOnly="0" labelOnly="1" outline="0" fieldPosition="0">
        <references count="4">
          <reference field="2" count="1" selected="0">
            <x v="13"/>
          </reference>
          <reference field="22" count="1" selected="0">
            <x v="4"/>
          </reference>
          <reference field="35" count="1">
            <x v="18"/>
          </reference>
          <reference field="38" count="1" selected="0">
            <x v="1"/>
          </reference>
        </references>
      </pivotArea>
    </format>
    <format dxfId="136">
      <pivotArea dataOnly="0" labelOnly="1" outline="0" fieldPosition="0">
        <references count="4">
          <reference field="2" count="1" selected="0">
            <x v="8"/>
          </reference>
          <reference field="22" count="1" selected="0">
            <x v="11"/>
          </reference>
          <reference field="35" count="1">
            <x v="8"/>
          </reference>
          <reference field="38" count="1" selected="0">
            <x v="2"/>
          </reference>
        </references>
      </pivotArea>
    </format>
    <format dxfId="135">
      <pivotArea dataOnly="0" labelOnly="1" outline="0" fieldPosition="0">
        <references count="4">
          <reference field="2" count="1" selected="0">
            <x v="9"/>
          </reference>
          <reference field="22" count="1" selected="0">
            <x v="13"/>
          </reference>
          <reference field="35" count="1">
            <x v="4"/>
          </reference>
          <reference field="38" count="1" selected="0">
            <x v="2"/>
          </reference>
        </references>
      </pivotArea>
    </format>
    <format dxfId="134">
      <pivotArea dataOnly="0" labelOnly="1" outline="0" fieldPosition="0">
        <references count="4">
          <reference field="2" count="1" selected="0">
            <x v="14"/>
          </reference>
          <reference field="22" count="1" selected="0">
            <x v="12"/>
          </reference>
          <reference field="35" count="1">
            <x v="6"/>
          </reference>
          <reference field="38" count="1" selected="0">
            <x v="2"/>
          </reference>
        </references>
      </pivotArea>
    </format>
    <format dxfId="133">
      <pivotArea dataOnly="0" labelOnly="1" outline="0" fieldPosition="0">
        <references count="4">
          <reference field="2" count="1" selected="0">
            <x v="1"/>
          </reference>
          <reference field="22" count="1" selected="0">
            <x v="15"/>
          </reference>
          <reference field="35" count="1">
            <x v="11"/>
          </reference>
          <reference field="38" count="1" selected="0">
            <x v="4"/>
          </reference>
        </references>
      </pivotArea>
    </format>
    <format dxfId="132">
      <pivotArea dataOnly="0" labelOnly="1" outline="0" fieldPosition="0">
        <references count="4">
          <reference field="2" count="1" selected="0">
            <x v="2"/>
          </reference>
          <reference field="22" count="1" selected="0">
            <x v="0"/>
          </reference>
          <reference field="35" count="1">
            <x v="3"/>
          </reference>
          <reference field="38" count="1" selected="0">
            <x v="4"/>
          </reference>
        </references>
      </pivotArea>
    </format>
    <format dxfId="131">
      <pivotArea dataOnly="0" labelOnly="1" outline="0" fieldPosition="0">
        <references count="4">
          <reference field="2" count="1" selected="0">
            <x v="3"/>
          </reference>
          <reference field="22" count="1" selected="0">
            <x v="8"/>
          </reference>
          <reference field="35" count="1">
            <x v="2"/>
          </reference>
          <reference field="38" count="1" selected="0">
            <x v="4"/>
          </reference>
        </references>
      </pivotArea>
    </format>
    <format dxfId="130">
      <pivotArea dataOnly="0" labelOnly="1" outline="0" fieldPosition="0">
        <references count="4">
          <reference field="2" count="1" selected="0">
            <x v="17"/>
          </reference>
          <reference field="22" count="1" selected="0">
            <x v="16"/>
          </reference>
          <reference field="35" count="1">
            <x v="15"/>
          </reference>
          <reference field="38" count="1" selected="0">
            <x v="4"/>
          </reference>
        </references>
      </pivotArea>
    </format>
    <format dxfId="129">
      <pivotArea dataOnly="0" labelOnly="1" outline="0" fieldPosition="0">
        <references count="4">
          <reference field="2" count="1" selected="0">
            <x v="18"/>
          </reference>
          <reference field="22" count="1" selected="0">
            <x v="9"/>
          </reference>
          <reference field="35" count="1">
            <x v="12"/>
          </reference>
          <reference field="38" count="1" selected="0">
            <x v="4"/>
          </reference>
        </references>
      </pivotArea>
    </format>
    <format dxfId="128">
      <pivotArea dataOnly="0" labelOnly="1" outline="0" fieldPosition="0">
        <references count="4">
          <reference field="2" count="1" selected="0">
            <x v="5"/>
          </reference>
          <reference field="22" count="1" selected="0">
            <x v="10"/>
          </reference>
          <reference field="35" count="1">
            <x v="9"/>
          </reference>
          <reference field="38" count="1" selected="0">
            <x v="5"/>
          </reference>
        </references>
      </pivotArea>
    </format>
    <format dxfId="127">
      <pivotArea dataOnly="0" labelOnly="1" outline="0" fieldPosition="0">
        <references count="4">
          <reference field="2" count="1" selected="0">
            <x v="6"/>
          </reference>
          <reference field="22" count="1" selected="0">
            <x v="7"/>
          </reference>
          <reference field="35" count="1">
            <x v="10"/>
          </reference>
          <reference field="38" count="1" selected="0">
            <x v="5"/>
          </reference>
        </references>
      </pivotArea>
    </format>
    <format dxfId="126">
      <pivotArea dataOnly="0" labelOnly="1" outline="0" fieldPosition="0">
        <references count="4">
          <reference field="2" count="1" selected="0">
            <x v="19"/>
          </reference>
          <reference field="22" count="1" selected="0">
            <x v="18"/>
          </reference>
          <reference field="35" count="1">
            <x v="16"/>
          </reference>
          <reference field="38" count="1" selected="0">
            <x v="5"/>
          </reference>
        </references>
      </pivotArea>
    </format>
    <format dxfId="125">
      <pivotArea dataOnly="0" labelOnly="1" outline="0" fieldPosition="0">
        <references count="4">
          <reference field="2" count="1" selected="0">
            <x v="15"/>
          </reference>
          <reference field="22" count="1" selected="0">
            <x v="3"/>
          </reference>
          <reference field="35" count="1">
            <x v="19"/>
          </reference>
          <reference field="38" count="1" selected="0">
            <x v="7"/>
          </reference>
        </references>
      </pivotArea>
    </format>
    <format dxfId="124">
      <pivotArea dataOnly="0" labelOnly="1" outline="0" axis="axisValues" fieldPosition="0"/>
    </format>
    <format dxfId="123">
      <pivotArea outline="0" fieldPosition="0">
        <references count="4">
          <reference field="2" count="17" selected="0">
            <x v="0"/>
            <x v="1"/>
            <x v="2"/>
            <x v="3"/>
            <x v="4"/>
            <x v="5"/>
            <x v="6"/>
            <x v="8"/>
            <x v="9"/>
            <x v="11"/>
            <x v="12"/>
            <x v="13"/>
            <x v="14"/>
            <x v="15"/>
            <x v="17"/>
            <x v="18"/>
            <x v="19"/>
          </reference>
          <reference field="22" count="17" selected="0">
            <x v="0"/>
            <x v="1"/>
            <x v="2"/>
            <x v="3"/>
            <x v="4"/>
            <x v="5"/>
            <x v="6"/>
            <x v="7"/>
            <x v="8"/>
            <x v="9"/>
            <x v="10"/>
            <x v="11"/>
            <x v="12"/>
            <x v="13"/>
            <x v="15"/>
            <x v="16"/>
            <x v="18"/>
          </reference>
          <reference field="35" count="17" selected="0">
            <x v="1"/>
            <x v="2"/>
            <x v="3"/>
            <x v="4"/>
            <x v="5"/>
            <x v="6"/>
            <x v="8"/>
            <x v="9"/>
            <x v="10"/>
            <x v="11"/>
            <x v="12"/>
            <x v="13"/>
            <x v="15"/>
            <x v="16"/>
            <x v="17"/>
            <x v="18"/>
            <x v="19"/>
          </reference>
          <reference field="38" count="0" selected="0"/>
        </references>
      </pivotArea>
    </format>
    <format dxfId="122">
      <pivotArea field="38" type="button" dataOnly="0" labelOnly="1" outline="0" axis="axisRow" fieldPosition="0"/>
    </format>
    <format dxfId="121">
      <pivotArea field="2" type="button" dataOnly="0" labelOnly="1" outline="0" axis="axisRow" fieldPosition="1"/>
    </format>
    <format dxfId="120">
      <pivotArea field="22" type="button" dataOnly="0" labelOnly="1" outline="0" axis="axisRow" fieldPosition="2"/>
    </format>
    <format dxfId="119">
      <pivotArea field="35" type="button" dataOnly="0" labelOnly="1" outline="0" axis="axisRow" fieldPosition="3"/>
    </format>
    <format dxfId="118">
      <pivotArea dataOnly="0" labelOnly="1" outline="0" fieldPosition="0">
        <references count="1">
          <reference field="38" count="0"/>
        </references>
      </pivotArea>
    </format>
    <format dxfId="117">
      <pivotArea dataOnly="0" labelOnly="1" outline="0" fieldPosition="0">
        <references count="2">
          <reference field="2" count="2">
            <x v="0"/>
            <x v="11"/>
          </reference>
          <reference field="38" count="1" selected="0">
            <x v="0"/>
          </reference>
        </references>
      </pivotArea>
    </format>
    <format dxfId="116">
      <pivotArea dataOnly="0" labelOnly="1" outline="0" fieldPosition="0">
        <references count="2">
          <reference field="2" count="3">
            <x v="4"/>
            <x v="12"/>
            <x v="13"/>
          </reference>
          <reference field="38" count="1" selected="0">
            <x v="1"/>
          </reference>
        </references>
      </pivotArea>
    </format>
    <format dxfId="115">
      <pivotArea dataOnly="0" labelOnly="1" outline="0" fieldPosition="0">
        <references count="2">
          <reference field="2" count="3">
            <x v="8"/>
            <x v="9"/>
            <x v="14"/>
          </reference>
          <reference field="38" count="1" selected="0">
            <x v="2"/>
          </reference>
        </references>
      </pivotArea>
    </format>
    <format dxfId="114">
      <pivotArea dataOnly="0" labelOnly="1" outline="0" fieldPosition="0">
        <references count="2">
          <reference field="2" count="5">
            <x v="1"/>
            <x v="2"/>
            <x v="3"/>
            <x v="17"/>
            <x v="18"/>
          </reference>
          <reference field="38" count="1" selected="0">
            <x v="4"/>
          </reference>
        </references>
      </pivotArea>
    </format>
    <format dxfId="113">
      <pivotArea dataOnly="0" labelOnly="1" outline="0" fieldPosition="0">
        <references count="2">
          <reference field="2" count="3">
            <x v="5"/>
            <x v="6"/>
            <x v="19"/>
          </reference>
          <reference field="38" count="1" selected="0">
            <x v="5"/>
          </reference>
        </references>
      </pivotArea>
    </format>
    <format dxfId="112">
      <pivotArea dataOnly="0" labelOnly="1" outline="0" fieldPosition="0">
        <references count="2">
          <reference field="2" count="1">
            <x v="15"/>
          </reference>
          <reference field="38" count="1" selected="0">
            <x v="7"/>
          </reference>
        </references>
      </pivotArea>
    </format>
    <format dxfId="111">
      <pivotArea dataOnly="0" labelOnly="1" outline="0" fieldPosition="0">
        <references count="3">
          <reference field="2" count="1" selected="0">
            <x v="0"/>
          </reference>
          <reference field="22" count="1">
            <x v="1"/>
          </reference>
          <reference field="38" count="1" selected="0">
            <x v="0"/>
          </reference>
        </references>
      </pivotArea>
    </format>
    <format dxfId="110">
      <pivotArea dataOnly="0" labelOnly="1" outline="0" fieldPosition="0">
        <references count="3">
          <reference field="2" count="1" selected="0">
            <x v="11"/>
          </reference>
          <reference field="22" count="1">
            <x v="2"/>
          </reference>
          <reference field="38" count="1" selected="0">
            <x v="0"/>
          </reference>
        </references>
      </pivotArea>
    </format>
    <format dxfId="109">
      <pivotArea dataOnly="0" labelOnly="1" outline="0" fieldPosition="0">
        <references count="3">
          <reference field="2" count="1" selected="0">
            <x v="4"/>
          </reference>
          <reference field="22" count="1">
            <x v="5"/>
          </reference>
          <reference field="38" count="1" selected="0">
            <x v="1"/>
          </reference>
        </references>
      </pivotArea>
    </format>
    <format dxfId="108">
      <pivotArea dataOnly="0" labelOnly="1" outline="0" fieldPosition="0">
        <references count="3">
          <reference field="2" count="1" selected="0">
            <x v="12"/>
          </reference>
          <reference field="22" count="1">
            <x v="6"/>
          </reference>
          <reference field="38" count="1" selected="0">
            <x v="1"/>
          </reference>
        </references>
      </pivotArea>
    </format>
    <format dxfId="107">
      <pivotArea dataOnly="0" labelOnly="1" outline="0" fieldPosition="0">
        <references count="3">
          <reference field="2" count="1" selected="0">
            <x v="13"/>
          </reference>
          <reference field="22" count="1">
            <x v="4"/>
          </reference>
          <reference field="38" count="1" selected="0">
            <x v="1"/>
          </reference>
        </references>
      </pivotArea>
    </format>
    <format dxfId="106">
      <pivotArea dataOnly="0" labelOnly="1" outline="0" fieldPosition="0">
        <references count="3">
          <reference field="2" count="1" selected="0">
            <x v="8"/>
          </reference>
          <reference field="22" count="1">
            <x v="11"/>
          </reference>
          <reference field="38" count="1" selected="0">
            <x v="2"/>
          </reference>
        </references>
      </pivotArea>
    </format>
    <format dxfId="105">
      <pivotArea dataOnly="0" labelOnly="1" outline="0" fieldPosition="0">
        <references count="3">
          <reference field="2" count="1" selected="0">
            <x v="9"/>
          </reference>
          <reference field="22" count="1">
            <x v="13"/>
          </reference>
          <reference field="38" count="1" selected="0">
            <x v="2"/>
          </reference>
        </references>
      </pivotArea>
    </format>
    <format dxfId="104">
      <pivotArea dataOnly="0" labelOnly="1" outline="0" fieldPosition="0">
        <references count="3">
          <reference field="2" count="1" selected="0">
            <x v="14"/>
          </reference>
          <reference field="22" count="1">
            <x v="12"/>
          </reference>
          <reference field="38" count="1" selected="0">
            <x v="2"/>
          </reference>
        </references>
      </pivotArea>
    </format>
    <format dxfId="103">
      <pivotArea dataOnly="0" labelOnly="1" outline="0" fieldPosition="0">
        <references count="3">
          <reference field="2" count="1" selected="0">
            <x v="1"/>
          </reference>
          <reference field="22" count="1">
            <x v="15"/>
          </reference>
          <reference field="38" count="1" selected="0">
            <x v="4"/>
          </reference>
        </references>
      </pivotArea>
    </format>
    <format dxfId="102">
      <pivotArea dataOnly="0" labelOnly="1" outline="0" fieldPosition="0">
        <references count="3">
          <reference field="2" count="1" selected="0">
            <x v="2"/>
          </reference>
          <reference field="22" count="1">
            <x v="0"/>
          </reference>
          <reference field="38" count="1" selected="0">
            <x v="4"/>
          </reference>
        </references>
      </pivotArea>
    </format>
    <format dxfId="101">
      <pivotArea dataOnly="0" labelOnly="1" outline="0" fieldPosition="0">
        <references count="3">
          <reference field="2" count="1" selected="0">
            <x v="3"/>
          </reference>
          <reference field="22" count="1">
            <x v="8"/>
          </reference>
          <reference field="38" count="1" selected="0">
            <x v="4"/>
          </reference>
        </references>
      </pivotArea>
    </format>
    <format dxfId="100">
      <pivotArea dataOnly="0" labelOnly="1" outline="0" fieldPosition="0">
        <references count="3">
          <reference field="2" count="1" selected="0">
            <x v="17"/>
          </reference>
          <reference field="22" count="1">
            <x v="16"/>
          </reference>
          <reference field="38" count="1" selected="0">
            <x v="4"/>
          </reference>
        </references>
      </pivotArea>
    </format>
    <format dxfId="99">
      <pivotArea dataOnly="0" labelOnly="1" outline="0" fieldPosition="0">
        <references count="3">
          <reference field="2" count="1" selected="0">
            <x v="18"/>
          </reference>
          <reference field="22" count="1">
            <x v="9"/>
          </reference>
          <reference field="38" count="1" selected="0">
            <x v="4"/>
          </reference>
        </references>
      </pivotArea>
    </format>
    <format dxfId="98">
      <pivotArea dataOnly="0" labelOnly="1" outline="0" fieldPosition="0">
        <references count="3">
          <reference field="2" count="1" selected="0">
            <x v="5"/>
          </reference>
          <reference field="22" count="1">
            <x v="10"/>
          </reference>
          <reference field="38" count="1" selected="0">
            <x v="5"/>
          </reference>
        </references>
      </pivotArea>
    </format>
    <format dxfId="97">
      <pivotArea dataOnly="0" labelOnly="1" outline="0" fieldPosition="0">
        <references count="3">
          <reference field="2" count="1" selected="0">
            <x v="6"/>
          </reference>
          <reference field="22" count="1">
            <x v="7"/>
          </reference>
          <reference field="38" count="1" selected="0">
            <x v="5"/>
          </reference>
        </references>
      </pivotArea>
    </format>
    <format dxfId="96">
      <pivotArea dataOnly="0" labelOnly="1" outline="0" fieldPosition="0">
        <references count="3">
          <reference field="2" count="1" selected="0">
            <x v="19"/>
          </reference>
          <reference field="22" count="1">
            <x v="18"/>
          </reference>
          <reference field="38" count="1" selected="0">
            <x v="5"/>
          </reference>
        </references>
      </pivotArea>
    </format>
    <format dxfId="95">
      <pivotArea dataOnly="0" labelOnly="1" outline="0" fieldPosition="0">
        <references count="3">
          <reference field="2" count="1" selected="0">
            <x v="15"/>
          </reference>
          <reference field="22" count="1">
            <x v="3"/>
          </reference>
          <reference field="38" count="1" selected="0">
            <x v="7"/>
          </reference>
        </references>
      </pivotArea>
    </format>
    <format dxfId="94">
      <pivotArea dataOnly="0" labelOnly="1" outline="0" fieldPosition="0">
        <references count="4">
          <reference field="2" count="1" selected="0">
            <x v="0"/>
          </reference>
          <reference field="22" count="1" selected="0">
            <x v="1"/>
          </reference>
          <reference field="35" count="1">
            <x v="1"/>
          </reference>
          <reference field="38" count="1" selected="0">
            <x v="0"/>
          </reference>
        </references>
      </pivotArea>
    </format>
    <format dxfId="93">
      <pivotArea dataOnly="0" labelOnly="1" outline="0" fieldPosition="0">
        <references count="4">
          <reference field="2" count="1" selected="0">
            <x v="11"/>
          </reference>
          <reference field="22" count="1" selected="0">
            <x v="2"/>
          </reference>
          <reference field="35" count="1">
            <x v="13"/>
          </reference>
          <reference field="38" count="1" selected="0">
            <x v="0"/>
          </reference>
        </references>
      </pivotArea>
    </format>
    <format dxfId="92">
      <pivotArea dataOnly="0" labelOnly="1" outline="0" fieldPosition="0">
        <references count="4">
          <reference field="2" count="1" selected="0">
            <x v="4"/>
          </reference>
          <reference field="22" count="1" selected="0">
            <x v="5"/>
          </reference>
          <reference field="35" count="1">
            <x v="5"/>
          </reference>
          <reference field="38" count="1" selected="0">
            <x v="1"/>
          </reference>
        </references>
      </pivotArea>
    </format>
    <format dxfId="91">
      <pivotArea dataOnly="0" labelOnly="1" outline="0" fieldPosition="0">
        <references count="4">
          <reference field="2" count="1" selected="0">
            <x v="12"/>
          </reference>
          <reference field="22" count="1" selected="0">
            <x v="6"/>
          </reference>
          <reference field="35" count="1">
            <x v="17"/>
          </reference>
          <reference field="38" count="1" selected="0">
            <x v="1"/>
          </reference>
        </references>
      </pivotArea>
    </format>
    <format dxfId="90">
      <pivotArea dataOnly="0" labelOnly="1" outline="0" fieldPosition="0">
        <references count="4">
          <reference field="2" count="1" selected="0">
            <x v="13"/>
          </reference>
          <reference field="22" count="1" selected="0">
            <x v="4"/>
          </reference>
          <reference field="35" count="1">
            <x v="18"/>
          </reference>
          <reference field="38" count="1" selected="0">
            <x v="1"/>
          </reference>
        </references>
      </pivotArea>
    </format>
    <format dxfId="89">
      <pivotArea dataOnly="0" labelOnly="1" outline="0" fieldPosition="0">
        <references count="4">
          <reference field="2" count="1" selected="0">
            <x v="8"/>
          </reference>
          <reference field="22" count="1" selected="0">
            <x v="11"/>
          </reference>
          <reference field="35" count="1">
            <x v="8"/>
          </reference>
          <reference field="38" count="1" selected="0">
            <x v="2"/>
          </reference>
        </references>
      </pivotArea>
    </format>
    <format dxfId="88">
      <pivotArea dataOnly="0" labelOnly="1" outline="0" fieldPosition="0">
        <references count="4">
          <reference field="2" count="1" selected="0">
            <x v="9"/>
          </reference>
          <reference field="22" count="1" selected="0">
            <x v="13"/>
          </reference>
          <reference field="35" count="1">
            <x v="4"/>
          </reference>
          <reference field="38" count="1" selected="0">
            <x v="2"/>
          </reference>
        </references>
      </pivotArea>
    </format>
    <format dxfId="87">
      <pivotArea dataOnly="0" labelOnly="1" outline="0" fieldPosition="0">
        <references count="4">
          <reference field="2" count="1" selected="0">
            <x v="14"/>
          </reference>
          <reference field="22" count="1" selected="0">
            <x v="12"/>
          </reference>
          <reference field="35" count="1">
            <x v="6"/>
          </reference>
          <reference field="38" count="1" selected="0">
            <x v="2"/>
          </reference>
        </references>
      </pivotArea>
    </format>
    <format dxfId="86">
      <pivotArea dataOnly="0" labelOnly="1" outline="0" fieldPosition="0">
        <references count="4">
          <reference field="2" count="1" selected="0">
            <x v="1"/>
          </reference>
          <reference field="22" count="1" selected="0">
            <x v="15"/>
          </reference>
          <reference field="35" count="1">
            <x v="11"/>
          </reference>
          <reference field="38" count="1" selected="0">
            <x v="4"/>
          </reference>
        </references>
      </pivotArea>
    </format>
    <format dxfId="85">
      <pivotArea dataOnly="0" labelOnly="1" outline="0" fieldPosition="0">
        <references count="4">
          <reference field="2" count="1" selected="0">
            <x v="2"/>
          </reference>
          <reference field="22" count="1" selected="0">
            <x v="0"/>
          </reference>
          <reference field="35" count="1">
            <x v="3"/>
          </reference>
          <reference field="38" count="1" selected="0">
            <x v="4"/>
          </reference>
        </references>
      </pivotArea>
    </format>
    <format dxfId="84">
      <pivotArea dataOnly="0" labelOnly="1" outline="0" fieldPosition="0">
        <references count="4">
          <reference field="2" count="1" selected="0">
            <x v="3"/>
          </reference>
          <reference field="22" count="1" selected="0">
            <x v="8"/>
          </reference>
          <reference field="35" count="1">
            <x v="2"/>
          </reference>
          <reference field="38" count="1" selected="0">
            <x v="4"/>
          </reference>
        </references>
      </pivotArea>
    </format>
    <format dxfId="83">
      <pivotArea dataOnly="0" labelOnly="1" outline="0" fieldPosition="0">
        <references count="4">
          <reference field="2" count="1" selected="0">
            <x v="17"/>
          </reference>
          <reference field="22" count="1" selected="0">
            <x v="16"/>
          </reference>
          <reference field="35" count="1">
            <x v="15"/>
          </reference>
          <reference field="38" count="1" selected="0">
            <x v="4"/>
          </reference>
        </references>
      </pivotArea>
    </format>
    <format dxfId="82">
      <pivotArea dataOnly="0" labelOnly="1" outline="0" fieldPosition="0">
        <references count="4">
          <reference field="2" count="1" selected="0">
            <x v="18"/>
          </reference>
          <reference field="22" count="1" selected="0">
            <x v="9"/>
          </reference>
          <reference field="35" count="1">
            <x v="12"/>
          </reference>
          <reference field="38" count="1" selected="0">
            <x v="4"/>
          </reference>
        </references>
      </pivotArea>
    </format>
    <format dxfId="81">
      <pivotArea dataOnly="0" labelOnly="1" outline="0" fieldPosition="0">
        <references count="4">
          <reference field="2" count="1" selected="0">
            <x v="5"/>
          </reference>
          <reference field="22" count="1" selected="0">
            <x v="10"/>
          </reference>
          <reference field="35" count="1">
            <x v="9"/>
          </reference>
          <reference field="38" count="1" selected="0">
            <x v="5"/>
          </reference>
        </references>
      </pivotArea>
    </format>
    <format dxfId="80">
      <pivotArea dataOnly="0" labelOnly="1" outline="0" fieldPosition="0">
        <references count="4">
          <reference field="2" count="1" selected="0">
            <x v="6"/>
          </reference>
          <reference field="22" count="1" selected="0">
            <x v="7"/>
          </reference>
          <reference field="35" count="1">
            <x v="10"/>
          </reference>
          <reference field="38" count="1" selected="0">
            <x v="5"/>
          </reference>
        </references>
      </pivotArea>
    </format>
    <format dxfId="79">
      <pivotArea dataOnly="0" labelOnly="1" outline="0" fieldPosition="0">
        <references count="4">
          <reference field="2" count="1" selected="0">
            <x v="19"/>
          </reference>
          <reference field="22" count="1" selected="0">
            <x v="18"/>
          </reference>
          <reference field="35" count="1">
            <x v="16"/>
          </reference>
          <reference field="38" count="1" selected="0">
            <x v="5"/>
          </reference>
        </references>
      </pivotArea>
    </format>
    <format dxfId="78">
      <pivotArea dataOnly="0" labelOnly="1" outline="0" fieldPosition="0">
        <references count="4">
          <reference field="2" count="1" selected="0">
            <x v="15"/>
          </reference>
          <reference field="22" count="1" selected="0">
            <x v="3"/>
          </reference>
          <reference field="35" count="1">
            <x v="19"/>
          </reference>
          <reference field="38" count="1" selected="0">
            <x v="7"/>
          </reference>
        </references>
      </pivotArea>
    </format>
    <format dxfId="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C0D4EE-F866-134D-B710-A4A97E7BE357}" name="Tabla2022" displayName="Tabla2022" ref="B1:BH21" totalsRowShown="0" headerRowDxfId="76" dataDxfId="75">
  <autoFilter ref="B1:BH21" xr:uid="{67AE81E0-8E5A-4BA1-B491-4C2BB4734A2B}"/>
  <tableColumns count="59">
    <tableColumn id="1" xr3:uid="{FC067161-552A-5E4E-ADBA-F43463C1CC68}" name="CODIGO ORGANISMO" dataDxfId="74"/>
    <tableColumn id="2" xr3:uid="{5F88D970-0E3E-BF4E-ADEC-4BA6B1991BE9}" name="ORGANISMO" dataDxfId="73"/>
    <tableColumn id="3" xr3:uid="{03586EAD-652F-5A44-86F5-C8F0FC86E39C}" name="DESCRIPCION" dataDxfId="72"/>
    <tableColumn id="4" xr3:uid="{A768C70D-54EB-E049-98F7-766B8ECAF124}" name="VIGENCIA" dataDxfId="71"/>
    <tableColumn id="5" xr3:uid="{9A389918-ECA6-2E42-9372-4B57F3BE9959}" name="FECHA INICIO" dataDxfId="70"/>
    <tableColumn id="6" xr3:uid="{A4C8D8F7-2682-FE44-9B46-830D06830800}" name="FECHA OFERTA" dataDxfId="69"/>
    <tableColumn id="56" xr3:uid="{DDE8FF95-6690-CE40-95E2-34AC4CFA2BBC}" name="Columna2" dataDxfId="68" dataCellStyle="Normal 3"/>
    <tableColumn id="57" xr3:uid="{ABE7A09F-B588-8A4C-B7E2-0E2D0D53E80A}" name="Columna3" dataDxfId="67" dataCellStyle="Normal 3"/>
    <tableColumn id="55" xr3:uid="{917F6F28-9616-F948-B499-000A06547286}" name="Columna1" dataDxfId="66" dataCellStyle="Normal 3"/>
    <tableColumn id="61" xr3:uid="{333A1660-27F8-8C49-9721-4983154C349F}" name="Columna13" dataDxfId="65" dataCellStyle="Normal 3"/>
    <tableColumn id="60" xr3:uid="{6D229719-9C65-AB49-917B-BDCAC0843A0F}" name="Columna12" dataDxfId="64" dataCellStyle="Normal 3"/>
    <tableColumn id="62" xr3:uid="{9AFA9242-123C-7C45-AF09-E55FEFC8B010}" name="Columna122" dataDxfId="63" dataCellStyle="Normal 3"/>
    <tableColumn id="7" xr3:uid="{6C6597B1-6F0D-D447-8A3D-95B6830104A5}" name="DURACION VALOR" dataDxfId="62"/>
    <tableColumn id="8" xr3:uid="{A7068187-281A-6C43-A8E4-4AB2E844B806}" name="DURACION INTERVALO" dataDxfId="61"/>
    <tableColumn id="9" xr3:uid="{BA8B3F8F-63D3-B948-A129-B53BE639FF4A}" name="MODALIDAD" dataDxfId="60"/>
    <tableColumn id="10" xr3:uid="{678301D9-B21E-6140-9E4D-3650249F06CB}" name="FUENTE RECURSOS" dataDxfId="59"/>
    <tableColumn id="11" xr3:uid="{FDBFAB80-269F-6543-8719-AAD1731A4A71}" name="FUENTE RECURSOS-VALOR" dataDxfId="58"/>
    <tableColumn id="12" xr3:uid="{35947D63-423D-C046-82B2-B64735F610C1}" name="ELEMENTO PEP" dataDxfId="57"/>
    <tableColumn id="13" xr3:uid="{4945EEEE-BD96-454B-B32D-34BB5BB5A040}" name="DESCRIPCION ELEMENTO PEP" dataDxfId="56"/>
    <tableColumn id="14" xr3:uid="{68ADC885-5F14-DD4E-B570-C813272517A5}" name="POSPRE" dataDxfId="55"/>
    <tableColumn id="15" xr3:uid="{B9C336C4-86BF-F249-B2CD-BFEBDE0868A2}" name="NOMBRE POSPRE" dataDxfId="54"/>
    <tableColumn id="16" xr3:uid="{8569CA9B-B2F1-5F4E-BFCE-2BF084CC94DB}" name="VALOR ACTIVIDAD" dataDxfId="53"/>
    <tableColumn id="17" xr3:uid="{2F0B0268-E37D-6642-AE46-6034511C1445}" name="VALOR DISPONIBLE" dataDxfId="52"/>
    <tableColumn id="18" xr3:uid="{4323D524-1007-8B41-88A1-77C986CA304B}" name="VALOR APROPIADO" dataDxfId="51"/>
    <tableColumn id="19" xr3:uid="{7D02DB57-59A1-3A43-96A8-734288818800}" name="VALOR TOTAL ESTIMADO" dataDxfId="50"/>
    <tableColumn id="20" xr3:uid="{75752D78-D56B-1C4A-A11C-0B27FB71051C}" name="VALOR VIGENCIA ACTUAL" dataDxfId="49"/>
    <tableColumn id="22" xr3:uid="{5447B8FE-7B48-BE49-9B5E-8D7B6DA20BC9}" name="ESTADO VIGENCIAS" dataDxfId="48"/>
    <tableColumn id="23" xr3:uid="{916AFD04-3546-2A4E-BC23-6BEE2611A43B}" name="ID" dataDxfId="47"/>
    <tableColumn id="24" xr3:uid="{B6B5DD3A-9629-FA43-B26D-CB1E75DF850D}" name="TIPO DE SOLICITUD" dataDxfId="46"/>
    <tableColumn id="25" xr3:uid="{118163B8-8C1F-9543-B6E9-4D7E5E52CD36}" name="CATEGORIA" dataDxfId="45"/>
    <tableColumn id="26" xr3:uid="{6C1D401D-AF5B-3242-881D-107E3970B819}" name="SUBCATEGORIA" dataDxfId="44"/>
    <tableColumn id="27" xr3:uid="{099D8D13-684E-314D-AA60-88C53D15DE87}" name="INCLUSION SOCIAL" dataDxfId="43"/>
    <tableColumn id="28" xr3:uid="{3FCFBDB0-9557-FA4D-BDB3-B8A3866A4C4F}" name="ID PAA" dataDxfId="42"/>
    <tableColumn id="29" xr3:uid="{806A9C18-F798-BC49-AFB8-84B51CF0ACD6}" name="ESTADO" dataDxfId="41"/>
    <tableColumn id="30" xr3:uid="{8AE3E327-BFC8-9741-9CD9-4FBC978B46B2}" name="FUENTE RECURSOS FINAL" dataDxfId="40"/>
    <tableColumn id="31" xr3:uid="{3CB66D8C-96F1-3946-9981-87A70073E9FE}" name="FUNCIONAMIENTO REAL ESTIMADO" dataDxfId="39"/>
    <tableColumn id="32" xr3:uid="{62A288D7-1A37-1545-B114-DC986B46946C}" name="INVERSIÓN REAL ESTIMADO" dataDxfId="38"/>
    <tableColumn id="33" xr3:uid="{6F8BEF7E-FEC1-3748-ACC2-3AC0F11841BE}" name="NÚMERO MODIFICACIONES" dataDxfId="37"/>
    <tableColumn id="34" xr3:uid="{79CFE1CA-9372-2447-8E86-BDE6D56FEEA7}" name="TIENE PROCESO" dataDxfId="36"/>
    <tableColumn id="35" xr3:uid="{D3F05330-EB67-A24F-B5B0-F8A409F33C13}" name="TIPO DE PLATAFORMA" dataDxfId="35"/>
    <tableColumn id="36" xr3:uid="{75FBCBEE-E0B2-C041-B844-74D51418FC44}" name="LINK DEL PROCESO" dataDxfId="34"/>
    <tableColumn id="37" xr3:uid="{F8A9ACC7-B8CD-4D4B-A999-1E67D2946E39}" name="VENCIDA" dataDxfId="33"/>
    <tableColumn id="38" xr3:uid="{35449BE1-E262-554F-A8D8-022CC07287AC}" name="JUSTIFICACIÓN VENCIDA" dataDxfId="32"/>
    <tableColumn id="39" xr3:uid="{D0C3B5E4-2FB7-AB4C-8EBB-4A37CCC82C4A}" name="NOMBRE ABREVIADO" dataDxfId="31"/>
    <tableColumn id="40" xr3:uid="{59BDE0D0-4A13-A542-B6EA-02753530DB92}" name="FECHA DE FIRMA DE CONTRATO" dataDxfId="30"/>
    <tableColumn id="41" xr3:uid="{281911AD-5095-D141-A4A2-C5C7856E16E7}" name="FONDO" dataDxfId="29"/>
    <tableColumn id="42" xr3:uid="{9F184003-C297-CC4A-9E5A-7425634349EA}" name="PRESUPUESTO PARTICIPATIVO" dataDxfId="28"/>
    <tableColumn id="43" xr3:uid="{BE75957D-814A-B24A-9F2C-69F1B66CD434}" name="ORIGEN" dataDxfId="27"/>
    <tableColumn id="44" xr3:uid="{A28B37C1-0D18-9D49-A254-9DB24BBF506A}" name="COMUNA" dataDxfId="26"/>
    <tableColumn id="45" xr3:uid="{98D5B145-4DD0-9048-8AB0-AB6A96994713}" name="PROYECTO" dataDxfId="25"/>
    <tableColumn id="46" xr3:uid="{F866D594-0262-0144-9F3B-B5CDF3611121}" name="PPTO. DISPONIBLE" dataDxfId="24"/>
    <tableColumn id="47" xr3:uid="{3A017253-2B2D-0349-8261-D913AC856860}" name="RPC" dataDxfId="23"/>
    <tableColumn id="48" xr3:uid="{8405F5D3-CF0D-D34E-A306-EC7CA08431C0}" name="DELEGACIONES" dataDxfId="22"/>
    <tableColumn id="49" xr3:uid="{EB5B9407-F342-EA42-BA0B-AB361E232F13}" name="ELEMENTO PEP 2" dataDxfId="21"/>
    <tableColumn id="50" xr3:uid="{61334BCD-8A06-A441-9925-D92776E4EA7A}" name="LLAVE" dataDxfId="20"/>
    <tableColumn id="51" xr3:uid="{180F61CC-6D57-DD45-880B-01F9DDB53452}" name="CDP BLOQUEADO" dataDxfId="19"/>
    <tableColumn id="52" xr3:uid="{9510CD97-E589-1047-9572-DE7C8B49427D}" name="EMPRÉSTITO" dataDxfId="18"/>
    <tableColumn id="53" xr3:uid="{FDF95B9B-7F25-E54A-935B-DF6E5AB772C3}" name="DELEGACIONES_1" dataDxfId="17"/>
    <tableColumn id="54" xr3:uid="{2F0F21B5-27D7-F04A-9E58-7B94676F0EFD}" name="DELEGACIONES_2" dataDxfId="16"/>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351748" TargetMode="External"/><Relationship Id="rId13" Type="http://schemas.openxmlformats.org/officeDocument/2006/relationships/hyperlink" Target="https://www.secop.gov.co/CO1BusinessLine/Tendering/ContractNoticeView/Index?Notice=CO1.NTC.8465685" TargetMode="External"/><Relationship Id="rId18" Type="http://schemas.openxmlformats.org/officeDocument/2006/relationships/hyperlink" Target="https://www.secop.gov.co/CO1BusinessLine/Tendering/ContractNoticeView/Index?Notice=CO1.NTC.8617820" TargetMode="External"/><Relationship Id="rId3" Type="http://schemas.openxmlformats.org/officeDocument/2006/relationships/hyperlink" Target="https://www.secop.gov.co/CO1BusinessLine/Tendering/ContractNoticeView/Index?Notice=CO1.NTC.8534337" TargetMode="External"/><Relationship Id="rId21"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686874" TargetMode="External"/><Relationship Id="rId7" Type="http://schemas.openxmlformats.org/officeDocument/2006/relationships/hyperlink" Target="https://www.secop.gov.co/CO1BusinessLine/Tendering/ContractNoticeView/Index?Notice=CO1.NTC.8652108" TargetMode="External"/><Relationship Id="rId12" Type="http://schemas.openxmlformats.org/officeDocument/2006/relationships/hyperlink" Target="https://www.secop.gov.co/CO1BusinessLine/Tendering/ContractNoticeView/Index?Notice=CO1.NTC.8533754" TargetMode="External"/><Relationship Id="rId17" Type="http://schemas.openxmlformats.org/officeDocument/2006/relationships/hyperlink" Target="https://www.secop.gov.co/CO1BusinessLine/Tendering/ContractNoticeView/Index?Notice=CO1.NTC.8578046" TargetMode="External"/><Relationship Id="rId2"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547026" TargetMode="External"/><Relationship Id="rId16" Type="http://schemas.openxmlformats.org/officeDocument/2006/relationships/hyperlink" Target="https://www.secop.gov.co/CO1BusinessLine/Tendering/ContractNoticeView/Index?Notice=CO1.NTC.8464265" TargetMode="External"/><Relationship Id="rId20"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654942" TargetMode="External"/><Relationship Id="rId1" Type="http://schemas.openxmlformats.org/officeDocument/2006/relationships/hyperlink" Target="https://community.secop.gov.co/Public/Tendering/OpportunityDetail/Index?noticeUID=CO1.NTC.8427829" TargetMode="External"/><Relationship Id="rId6" Type="http://schemas.openxmlformats.org/officeDocument/2006/relationships/hyperlink" Target="https://www.secop.gov.co/CO1BusinessLine/Tendering/ContractNoticeView/Index?Notice=CO1.NTC.8536225" TargetMode="External"/><Relationship Id="rId11" Type="http://schemas.openxmlformats.org/officeDocument/2006/relationships/hyperlink" Target="https://www.secop.gov.co/CO1BusinessLine/Tendering/ContractNoticeView/Index?Notice=CO1.NTC.8427829" TargetMode="External"/><Relationship Id="rId5" Type="http://schemas.openxmlformats.org/officeDocument/2006/relationships/hyperlink" Target="https://www.secop.gov.co/CO1BusinessLine/Tendering/ContractNoticeView/Index?Notice=CO1.NTC.8533449" TargetMode="External"/><Relationship Id="rId15" Type="http://schemas.openxmlformats.org/officeDocument/2006/relationships/hyperlink" Target="https://www.secop.gov.co/CO1BusinessLine/Tendering/ContractNoticeView/Index?Notice=CO1.NTC.8569500" TargetMode="External"/><Relationship Id="rId23" Type="http://schemas.openxmlformats.org/officeDocument/2006/relationships/comments" Target="../comments1.xml"/><Relationship Id="rId10" Type="http://schemas.openxmlformats.org/officeDocument/2006/relationships/hyperlink" Target="https://www.secop.gov.co/CO1BusinessLine/Tendering/ContractNoticeView/Index?Notice=CO1.NTC.8513287" TargetMode="External"/><Relationship Id="rId19" Type="http://schemas.openxmlformats.org/officeDocument/2006/relationships/hyperlink" Target="https://www.secop.gov.co/CO1BusinessLine/Tendering/ContractNoticeView/Index?Notice=CO1.NTC.8657537" TargetMode="External"/><Relationship Id="rId4" Type="http://schemas.openxmlformats.org/officeDocument/2006/relationships/hyperlink" Target="https://www.secop.gov.co/CO1BusinessLine/Tendering/ContractNoticeView/Index?Notice=CO1.NTC.8533589" TargetMode="External"/><Relationship Id="rId9" Type="http://schemas.openxmlformats.org/officeDocument/2006/relationships/hyperlink" Target="https://www.secop.gov.co/CO1BusinessLine/Tendering/ContractNoticeView/Index?Notice=CO1.NTC.8449825" TargetMode="External"/><Relationship Id="rId14" Type="http://schemas.openxmlformats.org/officeDocument/2006/relationships/hyperlink" Target="https://www.secop.gov.co/CO1BusinessLine/Tendering/ContractNoticeView/Index?Notice=CO1.NTC.8632462" TargetMode="External"/><Relationship Id="rId22"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351748" TargetMode="External"/><Relationship Id="rId13" Type="http://schemas.openxmlformats.org/officeDocument/2006/relationships/hyperlink" Target="https://www.secop.gov.co/CO1BusinessLine/Tendering/ContractNoticeView/Index?Notice=CO1.NTC.8465685" TargetMode="External"/><Relationship Id="rId18" Type="http://schemas.openxmlformats.org/officeDocument/2006/relationships/hyperlink" Target="https://www.secop.gov.co/CO1BusinessLine/Tendering/ContractNoticeView/Index?Notice=CO1.NTC.8617820" TargetMode="External"/><Relationship Id="rId3" Type="http://schemas.openxmlformats.org/officeDocument/2006/relationships/hyperlink" Target="https://www.secop.gov.co/CO1BusinessLine/Tendering/ContractNoticeView/Index?Notice=CO1.NTC.8534337" TargetMode="External"/><Relationship Id="rId21" Type="http://schemas.openxmlformats.org/officeDocument/2006/relationships/comments" Target="../comments2.xml"/><Relationship Id="rId7" Type="http://schemas.openxmlformats.org/officeDocument/2006/relationships/hyperlink" Target="https://www.secop.gov.co/CO1BusinessLine/Tendering/ContractNoticeView/Index?Notice=CO1.NTC.8652108" TargetMode="External"/><Relationship Id="rId12" Type="http://schemas.openxmlformats.org/officeDocument/2006/relationships/hyperlink" Target="https://www.secop.gov.co/CO1BusinessLine/Tendering/ContractNoticeView/Index?Notice=CO1.NTC.8533754" TargetMode="External"/><Relationship Id="rId17" Type="http://schemas.openxmlformats.org/officeDocument/2006/relationships/hyperlink" Target="https://www.secop.gov.co/CO1BusinessLine/Tendering/ContractNoticeView/Index?Notice=CO1.NTC.8578046" TargetMode="External"/><Relationship Id="rId2" Type="http://schemas.openxmlformats.org/officeDocument/2006/relationships/hyperlink" Target="https://www.secop.gov.co/CO1BusinessLine/Tendering/ContractNoticeView/Index?prevCtxLbl=Buscar+procesos&amp;prevCtxUrl=https%3a%2f%2fwww.secop.gov.co%3a443%2fCO1BusinessLine%2fTendering%2fContractNoticeManagement%2fIndex&amp;notice=CO1.NTC.8547026" TargetMode="External"/><Relationship Id="rId16" Type="http://schemas.openxmlformats.org/officeDocument/2006/relationships/hyperlink" Target="https://www.secop.gov.co/CO1BusinessLine/Tendering/ContractNoticeView/Index?Notice=CO1.NTC.8464265" TargetMode="External"/><Relationship Id="rId20" Type="http://schemas.openxmlformats.org/officeDocument/2006/relationships/vmlDrawing" Target="../drawings/vmlDrawing2.vml"/><Relationship Id="rId1" Type="http://schemas.openxmlformats.org/officeDocument/2006/relationships/hyperlink" Target="https://community.secop.gov.co/Public/Tendering/OpportunityDetail/Index?noticeUID=CO1.NTC.8427829" TargetMode="External"/><Relationship Id="rId6" Type="http://schemas.openxmlformats.org/officeDocument/2006/relationships/hyperlink" Target="https://www.secop.gov.co/CO1BusinessLine/Tendering/ContractNoticeView/Index?Notice=CO1.NTC.8536225" TargetMode="External"/><Relationship Id="rId11" Type="http://schemas.openxmlformats.org/officeDocument/2006/relationships/hyperlink" Target="https://www.secop.gov.co/CO1BusinessLine/Tendering/ContractNoticeView/Index?Notice=CO1.NTC.8427829" TargetMode="External"/><Relationship Id="rId5" Type="http://schemas.openxmlformats.org/officeDocument/2006/relationships/hyperlink" Target="https://www.secop.gov.co/CO1BusinessLine/Tendering/ContractNoticeView/Index?Notice=CO1.NTC.8533449" TargetMode="External"/><Relationship Id="rId15" Type="http://schemas.openxmlformats.org/officeDocument/2006/relationships/hyperlink" Target="https://www.secop.gov.co/CO1BusinessLine/Tendering/ContractNoticeView/Index?Notice=CO1.NTC.8569500" TargetMode="External"/><Relationship Id="rId10" Type="http://schemas.openxmlformats.org/officeDocument/2006/relationships/hyperlink" Target="https://www.secop.gov.co/CO1BusinessLine/Tendering/ContractNoticeView/Index?Notice=CO1.NTC.8513287" TargetMode="External"/><Relationship Id="rId19" Type="http://schemas.openxmlformats.org/officeDocument/2006/relationships/hyperlink" Target="https://www.secop.gov.co/CO1BusinessLine/Tendering/ContractNoticeView/Index?Notice=CO1.NTC.8657537" TargetMode="External"/><Relationship Id="rId4" Type="http://schemas.openxmlformats.org/officeDocument/2006/relationships/hyperlink" Target="https://www.secop.gov.co/CO1BusinessLine/Tendering/ContractNoticeView/Index?Notice=CO1.NTC.8533589" TargetMode="External"/><Relationship Id="rId9" Type="http://schemas.openxmlformats.org/officeDocument/2006/relationships/hyperlink" Target="https://www.secop.gov.co/CO1BusinessLine/Tendering/ContractNoticeView/Index?Notice=CO1.NTC.8449825" TargetMode="External"/><Relationship Id="rId14" Type="http://schemas.openxmlformats.org/officeDocument/2006/relationships/hyperlink" Target="https://www.secop.gov.co/CO1BusinessLine/Tendering/ContractNoticeView/Index?Notice=CO1.NTC.86324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4E756-13D8-2744-93C6-BA7AEE040DAB}">
  <sheetPr codeName="Hoja1"/>
  <dimension ref="B3:H33"/>
  <sheetViews>
    <sheetView topLeftCell="A23" workbookViewId="0">
      <selection activeCell="B23" sqref="B23"/>
    </sheetView>
  </sheetViews>
  <sheetFormatPr baseColWidth="10" defaultRowHeight="16" x14ac:dyDescent="0.2"/>
  <cols>
    <col min="2" max="2" width="50.5" customWidth="1"/>
    <col min="3" max="3" width="54.1640625" customWidth="1"/>
    <col min="4" max="4" width="4.6640625" customWidth="1"/>
    <col min="5" max="5" width="4.33203125" bestFit="1" customWidth="1"/>
    <col min="6" max="6" width="23.1640625" customWidth="1"/>
    <col min="7" max="7" width="12.6640625" customWidth="1"/>
    <col min="8" max="8" width="19" customWidth="1"/>
  </cols>
  <sheetData>
    <row r="3" spans="2:8" s="2" customFormat="1" x14ac:dyDescent="0.2">
      <c r="B3" s="3" t="s">
        <v>1</v>
      </c>
      <c r="C3" s="3"/>
      <c r="D3" s="3" t="s">
        <v>20</v>
      </c>
      <c r="E3" s="3" t="s">
        <v>21</v>
      </c>
      <c r="F3" s="3" t="s">
        <v>2</v>
      </c>
      <c r="G3" s="3"/>
      <c r="H3" s="3" t="s">
        <v>3</v>
      </c>
    </row>
    <row r="4" spans="2:8" ht="17" customHeight="1" x14ac:dyDescent="0.2">
      <c r="B4" s="4" t="s">
        <v>4</v>
      </c>
      <c r="C4" s="5"/>
      <c r="D4" s="5"/>
      <c r="E4" s="5"/>
      <c r="F4" s="4"/>
      <c r="G4" s="4"/>
      <c r="H4" s="4"/>
    </row>
    <row r="5" spans="2:8" ht="25" customHeight="1" x14ac:dyDescent="0.2">
      <c r="B5" s="176" t="s">
        <v>5</v>
      </c>
      <c r="C5" s="5" t="s">
        <v>9</v>
      </c>
      <c r="D5" s="5"/>
      <c r="E5" s="5"/>
      <c r="F5" s="4"/>
      <c r="G5" s="4"/>
      <c r="H5" s="4"/>
    </row>
    <row r="6" spans="2:8" ht="17" x14ac:dyDescent="0.2">
      <c r="B6" s="177"/>
      <c r="C6" s="5" t="s">
        <v>6</v>
      </c>
      <c r="D6" s="5"/>
      <c r="E6" s="5"/>
      <c r="F6" s="4"/>
      <c r="G6" s="4"/>
      <c r="H6" s="4"/>
    </row>
    <row r="7" spans="2:8" ht="17" x14ac:dyDescent="0.2">
      <c r="B7" s="178"/>
      <c r="C7" s="5" t="s">
        <v>7</v>
      </c>
      <c r="D7" s="5"/>
      <c r="E7" s="5"/>
      <c r="F7" s="4"/>
      <c r="G7" s="4"/>
      <c r="H7" s="4"/>
    </row>
    <row r="8" spans="2:8" ht="17" x14ac:dyDescent="0.2">
      <c r="B8" s="4"/>
      <c r="C8" s="5" t="s">
        <v>8</v>
      </c>
      <c r="D8" s="5"/>
      <c r="E8" s="5"/>
      <c r="F8" s="4"/>
      <c r="G8" s="4"/>
      <c r="H8" s="4"/>
    </row>
    <row r="9" spans="2:8" ht="17" x14ac:dyDescent="0.2">
      <c r="B9" s="4"/>
      <c r="C9" s="5" t="s">
        <v>10</v>
      </c>
      <c r="D9" s="5"/>
      <c r="E9" s="5"/>
      <c r="F9" s="4"/>
      <c r="G9" s="4"/>
      <c r="H9" s="4"/>
    </row>
    <row r="10" spans="2:8" ht="17" x14ac:dyDescent="0.2">
      <c r="B10" s="4"/>
      <c r="C10" s="5" t="s">
        <v>14</v>
      </c>
      <c r="D10" s="5"/>
      <c r="E10" s="5"/>
      <c r="F10" s="4"/>
      <c r="G10" s="4"/>
      <c r="H10" s="4"/>
    </row>
    <row r="11" spans="2:8" ht="17" x14ac:dyDescent="0.2">
      <c r="B11" s="4"/>
      <c r="C11" s="5" t="s">
        <v>11</v>
      </c>
      <c r="D11" s="5"/>
      <c r="E11" s="5"/>
      <c r="F11" s="4"/>
      <c r="G11" s="4"/>
      <c r="H11" s="4"/>
    </row>
    <row r="12" spans="2:8" ht="17" x14ac:dyDescent="0.2">
      <c r="B12" s="4"/>
      <c r="C12" s="5" t="s">
        <v>12</v>
      </c>
      <c r="D12" s="5"/>
      <c r="E12" s="5"/>
      <c r="F12" s="4"/>
      <c r="G12" s="4"/>
      <c r="H12" s="4"/>
    </row>
    <row r="13" spans="2:8" ht="17" x14ac:dyDescent="0.2">
      <c r="B13" s="4"/>
      <c r="C13" s="5" t="s">
        <v>13</v>
      </c>
      <c r="D13" s="5"/>
      <c r="E13" s="5"/>
      <c r="F13" s="4"/>
      <c r="G13" s="4"/>
      <c r="H13" s="4"/>
    </row>
    <row r="14" spans="2:8" ht="17" x14ac:dyDescent="0.2">
      <c r="B14" s="4"/>
      <c r="C14" s="5" t="s">
        <v>17</v>
      </c>
      <c r="D14" s="5"/>
      <c r="E14" s="5"/>
      <c r="F14" s="4"/>
      <c r="G14" s="4"/>
      <c r="H14" s="4"/>
    </row>
    <row r="15" spans="2:8" ht="17" x14ac:dyDescent="0.2">
      <c r="B15" s="4"/>
      <c r="C15" s="5" t="s">
        <v>15</v>
      </c>
      <c r="D15" s="5"/>
      <c r="E15" s="5"/>
      <c r="F15" s="4"/>
      <c r="G15" s="4"/>
      <c r="H15" s="4"/>
    </row>
    <row r="16" spans="2:8" ht="17" x14ac:dyDescent="0.2">
      <c r="B16" s="4"/>
      <c r="C16" s="5" t="s">
        <v>16</v>
      </c>
      <c r="D16" s="5"/>
      <c r="E16" s="5"/>
      <c r="F16" s="4"/>
      <c r="G16" s="4"/>
      <c r="H16" s="4"/>
    </row>
    <row r="17" spans="2:8" ht="17" x14ac:dyDescent="0.2">
      <c r="B17" s="4"/>
      <c r="C17" s="5" t="s">
        <v>18</v>
      </c>
      <c r="D17" s="5"/>
      <c r="E17" s="5"/>
      <c r="F17" s="4"/>
      <c r="G17" s="4"/>
      <c r="H17" s="4"/>
    </row>
    <row r="18" spans="2:8" ht="17" x14ac:dyDescent="0.2">
      <c r="B18" s="4"/>
      <c r="C18" s="5" t="s">
        <v>19</v>
      </c>
      <c r="D18" s="5"/>
      <c r="E18" s="5"/>
      <c r="F18" s="4"/>
      <c r="G18" s="4"/>
      <c r="H18" s="4"/>
    </row>
    <row r="19" spans="2:8" x14ac:dyDescent="0.2">
      <c r="B19" s="4"/>
      <c r="C19" s="4"/>
      <c r="D19" s="4"/>
      <c r="E19" s="5"/>
      <c r="F19" s="4"/>
      <c r="G19" s="4"/>
      <c r="H19" s="4"/>
    </row>
    <row r="20" spans="2:8" x14ac:dyDescent="0.2">
      <c r="E20" s="1"/>
    </row>
    <row r="22" spans="2:8" x14ac:dyDescent="0.2">
      <c r="B22" s="65" t="s">
        <v>545</v>
      </c>
      <c r="C22" t="s">
        <v>425</v>
      </c>
    </row>
    <row r="23" spans="2:8" x14ac:dyDescent="0.2">
      <c r="B23" s="65" t="s">
        <v>543</v>
      </c>
      <c r="C23" t="s">
        <v>423</v>
      </c>
    </row>
    <row r="24" spans="2:8" x14ac:dyDescent="0.2">
      <c r="B24" s="65" t="s">
        <v>544</v>
      </c>
      <c r="C24" t="s">
        <v>0</v>
      </c>
    </row>
    <row r="25" spans="2:8" x14ac:dyDescent="0.2">
      <c r="B25" s="65" t="s">
        <v>407</v>
      </c>
    </row>
    <row r="26" spans="2:8" x14ac:dyDescent="0.2">
      <c r="B26" s="65" t="s">
        <v>541</v>
      </c>
    </row>
    <row r="27" spans="2:8" x14ac:dyDescent="0.2">
      <c r="B27" s="65" t="s">
        <v>542</v>
      </c>
    </row>
    <row r="29" spans="2:8" x14ac:dyDescent="0.2">
      <c r="C29" t="s">
        <v>426</v>
      </c>
    </row>
    <row r="30" spans="2:8" x14ac:dyDescent="0.2">
      <c r="C30" t="s">
        <v>427</v>
      </c>
    </row>
    <row r="31" spans="2:8" x14ac:dyDescent="0.2">
      <c r="C31" t="s">
        <v>482</v>
      </c>
    </row>
    <row r="32" spans="2:8" x14ac:dyDescent="0.2">
      <c r="B32" s="65" t="s">
        <v>365</v>
      </c>
      <c r="C32" t="s">
        <v>428</v>
      </c>
    </row>
    <row r="33" spans="2:3" x14ac:dyDescent="0.2">
      <c r="B33" s="65" t="s">
        <v>366</v>
      </c>
      <c r="C33" t="s">
        <v>431</v>
      </c>
    </row>
  </sheetData>
  <mergeCells count="1">
    <mergeCell ref="B5:B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E3326-09E0-7345-99D6-E23A19B41912}">
  <sheetPr codeName="Hoja3">
    <pageSetUpPr fitToPage="1"/>
  </sheetPr>
  <dimension ref="A1:W122"/>
  <sheetViews>
    <sheetView showGridLines="0" topLeftCell="B6" zoomScaleNormal="100" workbookViewId="0">
      <selection activeCell="F21" sqref="F21"/>
    </sheetView>
  </sheetViews>
  <sheetFormatPr baseColWidth="10" defaultColWidth="11.5" defaultRowHeight="15" x14ac:dyDescent="0.2"/>
  <cols>
    <col min="1" max="1" width="8.5" style="12" customWidth="1"/>
    <col min="2" max="2" width="23.1640625" style="14" customWidth="1"/>
    <col min="3" max="3" width="15.1640625" style="14" customWidth="1"/>
    <col min="4" max="4" width="14.6640625" style="14" customWidth="1"/>
    <col min="5" max="5" width="50.5" style="14" customWidth="1"/>
    <col min="6" max="6" width="32.5" style="14" customWidth="1"/>
    <col min="7" max="7" width="18.5" style="14" bestFit="1" customWidth="1"/>
    <col min="8" max="8" width="16.5" style="14" bestFit="1" customWidth="1"/>
    <col min="9" max="14" width="19.5" style="12" customWidth="1"/>
    <col min="15" max="15" width="36.83203125" style="12" bestFit="1" customWidth="1"/>
    <col min="16" max="16" width="31.83203125" style="12" bestFit="1" customWidth="1"/>
    <col min="17" max="19" width="12.5" style="12" bestFit="1" customWidth="1"/>
    <col min="20" max="20" width="11.5" style="12"/>
    <col min="21" max="21" width="16.6640625" style="12" bestFit="1" customWidth="1"/>
    <col min="22" max="22" width="11.5" style="12"/>
    <col min="23" max="23" width="15.1640625" style="12" bestFit="1" customWidth="1"/>
    <col min="24" max="16384" width="11.5" style="12"/>
  </cols>
  <sheetData>
    <row r="1" spans="1:23" s="10" customFormat="1" ht="19" x14ac:dyDescent="0.2">
      <c r="B1" s="6" t="s">
        <v>22</v>
      </c>
      <c r="C1" s="7"/>
      <c r="D1" s="8"/>
      <c r="E1" s="9"/>
      <c r="F1" s="9"/>
      <c r="G1" s="9"/>
      <c r="H1" s="9"/>
      <c r="I1" s="9"/>
      <c r="J1" s="9"/>
      <c r="K1" s="9"/>
      <c r="L1" s="9"/>
      <c r="M1" s="9"/>
      <c r="N1" s="9"/>
      <c r="P1" s="11" t="s">
        <v>23</v>
      </c>
    </row>
    <row r="2" spans="1:23" s="10" customFormat="1" ht="41.25" customHeight="1" x14ac:dyDescent="0.2">
      <c r="B2" s="179" t="s">
        <v>24</v>
      </c>
      <c r="C2" s="179"/>
      <c r="D2" s="179"/>
      <c r="E2" s="179"/>
      <c r="F2" s="179"/>
      <c r="G2" s="179"/>
      <c r="H2" s="179"/>
      <c r="I2" s="179"/>
      <c r="J2" s="179"/>
      <c r="K2" s="179"/>
      <c r="L2" s="179"/>
      <c r="P2" s="11"/>
    </row>
    <row r="3" spans="1:23" s="10" customFormat="1" ht="24" x14ac:dyDescent="0.3">
      <c r="B3" s="180" t="s">
        <v>25</v>
      </c>
      <c r="C3" s="180"/>
      <c r="D3" s="180"/>
      <c r="E3" s="180"/>
      <c r="F3" s="180"/>
      <c r="G3" s="180"/>
      <c r="H3" s="180"/>
      <c r="I3" s="180"/>
      <c r="J3" s="180"/>
      <c r="K3" s="180"/>
      <c r="L3" s="180"/>
      <c r="P3" s="11"/>
    </row>
    <row r="4" spans="1:23" s="10" customFormat="1" x14ac:dyDescent="0.2">
      <c r="B4" s="12"/>
      <c r="C4" s="12"/>
      <c r="D4" s="13"/>
      <c r="E4" s="13"/>
      <c r="F4" s="13"/>
      <c r="G4" s="13"/>
      <c r="H4" s="13"/>
      <c r="P4" s="11"/>
    </row>
    <row r="5" spans="1:23" s="10" customFormat="1" x14ac:dyDescent="0.2">
      <c r="B5" s="12"/>
      <c r="C5" s="12"/>
      <c r="D5" s="13"/>
      <c r="E5" s="13"/>
      <c r="F5" s="13"/>
      <c r="G5" s="13"/>
      <c r="H5" s="13"/>
      <c r="P5" s="11"/>
    </row>
    <row r="6" spans="1:23" s="10" customFormat="1" x14ac:dyDescent="0.2">
      <c r="B6" s="12"/>
      <c r="C6" s="12"/>
      <c r="D6" s="13"/>
      <c r="E6" s="13"/>
      <c r="F6" s="13"/>
      <c r="G6" s="13"/>
      <c r="H6" s="13"/>
      <c r="P6" s="11"/>
    </row>
    <row r="7" spans="1:23" s="10" customFormat="1" x14ac:dyDescent="0.2">
      <c r="B7" s="52" t="s">
        <v>26</v>
      </c>
      <c r="C7" s="53" t="s">
        <v>27</v>
      </c>
      <c r="D7" s="13"/>
      <c r="E7" s="13"/>
      <c r="F7" s="13"/>
      <c r="G7" s="13"/>
      <c r="H7" s="13"/>
      <c r="P7" s="11"/>
    </row>
    <row r="8" spans="1:23" x14ac:dyDescent="0.2">
      <c r="B8" s="52" t="s">
        <v>28</v>
      </c>
      <c r="C8" s="50" t="s">
        <v>29</v>
      </c>
    </row>
    <row r="9" spans="1:23" x14ac:dyDescent="0.2">
      <c r="B9" s="52" t="s">
        <v>30</v>
      </c>
      <c r="C9" s="53" t="s">
        <v>27</v>
      </c>
      <c r="O9" s="15" t="s">
        <v>31</v>
      </c>
    </row>
    <row r="10" spans="1:23" x14ac:dyDescent="0.2">
      <c r="B10" s="52" t="s">
        <v>32</v>
      </c>
      <c r="C10" s="53" t="s">
        <v>33</v>
      </c>
    </row>
    <row r="11" spans="1:23" x14ac:dyDescent="0.2">
      <c r="O11" s="16" t="s">
        <v>0</v>
      </c>
      <c r="P11" s="16" t="s">
        <v>34</v>
      </c>
    </row>
    <row r="12" spans="1:23" x14ac:dyDescent="0.2">
      <c r="B12" s="47" t="s">
        <v>35</v>
      </c>
      <c r="C12" s="46" t="s">
        <v>0</v>
      </c>
      <c r="D12" s="47" t="s">
        <v>36</v>
      </c>
      <c r="E12" s="47" t="s">
        <v>37</v>
      </c>
      <c r="F12" s="47" t="s">
        <v>38</v>
      </c>
      <c r="G12" s="47" t="s">
        <v>39</v>
      </c>
      <c r="H12" s="47" t="s">
        <v>40</v>
      </c>
      <c r="I12" s="51" t="s">
        <v>41</v>
      </c>
      <c r="N12" s="17"/>
      <c r="O12" s="16" t="s">
        <v>38</v>
      </c>
      <c r="P12" s="18" t="s">
        <v>27</v>
      </c>
      <c r="Q12" s="16"/>
      <c r="R12" s="16"/>
      <c r="S12" s="16"/>
      <c r="T12" s="16"/>
      <c r="U12" s="16"/>
    </row>
    <row r="13" spans="1:23" x14ac:dyDescent="0.2">
      <c r="A13" s="12">
        <v>1</v>
      </c>
      <c r="B13" s="51" t="s">
        <v>42</v>
      </c>
      <c r="C13" s="54" t="s">
        <v>34</v>
      </c>
      <c r="D13" s="59">
        <v>26005340</v>
      </c>
      <c r="E13" s="57" t="s">
        <v>43</v>
      </c>
      <c r="F13" s="49" t="s">
        <v>44</v>
      </c>
      <c r="G13" s="56" t="s">
        <v>45</v>
      </c>
      <c r="H13" s="62">
        <v>18889</v>
      </c>
      <c r="I13" s="48">
        <v>5757381578</v>
      </c>
      <c r="N13" s="19"/>
      <c r="O13" s="20" t="s">
        <v>36</v>
      </c>
      <c r="P13" s="16" t="s">
        <v>27</v>
      </c>
      <c r="Q13" s="16"/>
      <c r="R13" s="16"/>
      <c r="S13" s="16"/>
      <c r="T13" s="16"/>
      <c r="U13" s="16"/>
    </row>
    <row r="14" spans="1:23" x14ac:dyDescent="0.2">
      <c r="A14" s="12">
        <v>2</v>
      </c>
      <c r="B14" s="51" t="s">
        <v>42</v>
      </c>
      <c r="C14" s="54" t="s">
        <v>34</v>
      </c>
      <c r="D14" s="60">
        <v>26005340</v>
      </c>
      <c r="E14" s="57" t="s">
        <v>43</v>
      </c>
      <c r="F14" s="49" t="s">
        <v>46</v>
      </c>
      <c r="G14" s="56" t="s">
        <v>47</v>
      </c>
      <c r="H14" s="62">
        <v>18890</v>
      </c>
      <c r="I14" s="48">
        <v>599955458</v>
      </c>
      <c r="N14" s="21"/>
      <c r="O14" s="16" t="s">
        <v>48</v>
      </c>
      <c r="P14" s="20" t="s">
        <v>33</v>
      </c>
      <c r="Q14" s="16"/>
      <c r="R14" s="16"/>
      <c r="S14" s="16"/>
      <c r="T14" s="16"/>
      <c r="U14" s="22" t="s">
        <v>42</v>
      </c>
      <c r="V14" s="12">
        <v>18889</v>
      </c>
      <c r="W14" s="23">
        <v>5700377800</v>
      </c>
    </row>
    <row r="15" spans="1:23" x14ac:dyDescent="0.2">
      <c r="A15" s="12">
        <v>3</v>
      </c>
      <c r="B15" s="51" t="s">
        <v>49</v>
      </c>
      <c r="C15" s="54" t="s">
        <v>34</v>
      </c>
      <c r="D15" s="59">
        <v>26005260</v>
      </c>
      <c r="E15" s="57" t="s">
        <v>50</v>
      </c>
      <c r="F15" s="49" t="s">
        <v>51</v>
      </c>
      <c r="G15" s="50" t="s">
        <v>52</v>
      </c>
      <c r="H15" s="61">
        <v>18918</v>
      </c>
      <c r="I15" s="48">
        <v>15661471447</v>
      </c>
      <c r="N15" s="21"/>
      <c r="O15" s="16" t="s">
        <v>53</v>
      </c>
      <c r="P15" s="16" t="s">
        <v>27</v>
      </c>
      <c r="Q15" s="16"/>
      <c r="R15" s="16"/>
      <c r="S15" s="16"/>
      <c r="T15" s="16"/>
      <c r="U15" s="24"/>
      <c r="V15" s="12">
        <v>18890</v>
      </c>
      <c r="W15" s="23">
        <v>599955458</v>
      </c>
    </row>
    <row r="16" spans="1:23" x14ac:dyDescent="0.2">
      <c r="A16" s="12">
        <v>4</v>
      </c>
      <c r="B16" s="51" t="s">
        <v>49</v>
      </c>
      <c r="C16" s="54" t="s">
        <v>34</v>
      </c>
      <c r="D16" s="60">
        <v>26005260</v>
      </c>
      <c r="E16" s="57" t="s">
        <v>50</v>
      </c>
      <c r="F16" s="49" t="s">
        <v>54</v>
      </c>
      <c r="G16" s="50" t="s">
        <v>55</v>
      </c>
      <c r="H16" s="58">
        <v>18947</v>
      </c>
      <c r="I16" s="48">
        <v>4763325000</v>
      </c>
      <c r="N16" s="21"/>
      <c r="O16" s="25"/>
      <c r="P16" s="16"/>
      <c r="Q16" s="16"/>
      <c r="R16" s="16"/>
      <c r="S16" s="16"/>
      <c r="T16" s="16"/>
      <c r="U16" s="22" t="s">
        <v>49</v>
      </c>
      <c r="V16" s="12">
        <v>18918</v>
      </c>
      <c r="W16" s="23">
        <v>15661471447</v>
      </c>
    </row>
    <row r="17" spans="1:23" x14ac:dyDescent="0.2">
      <c r="A17" s="12">
        <v>5</v>
      </c>
      <c r="B17" s="51" t="s">
        <v>49</v>
      </c>
      <c r="C17" s="54" t="s">
        <v>34</v>
      </c>
      <c r="D17" s="60">
        <v>26005260</v>
      </c>
      <c r="E17" s="57" t="s">
        <v>50</v>
      </c>
      <c r="F17" s="49" t="s">
        <v>56</v>
      </c>
      <c r="G17" s="50" t="s">
        <v>57</v>
      </c>
      <c r="H17" s="61">
        <v>18946</v>
      </c>
      <c r="I17" s="48">
        <v>500000000</v>
      </c>
      <c r="N17" s="21"/>
      <c r="O17" s="16" t="s">
        <v>58</v>
      </c>
      <c r="P17" s="16" t="s">
        <v>28</v>
      </c>
      <c r="Q17" s="16"/>
      <c r="S17" s="16"/>
      <c r="T17" s="16"/>
      <c r="U17" s="22"/>
      <c r="V17" s="12">
        <v>18933</v>
      </c>
      <c r="W17" s="23">
        <v>260000000</v>
      </c>
    </row>
    <row r="18" spans="1:23" x14ac:dyDescent="0.2">
      <c r="A18" s="12">
        <v>6</v>
      </c>
      <c r="B18" s="51" t="s">
        <v>49</v>
      </c>
      <c r="C18" s="54" t="s">
        <v>34</v>
      </c>
      <c r="D18" s="60">
        <v>26005260</v>
      </c>
      <c r="E18" s="57" t="s">
        <v>50</v>
      </c>
      <c r="F18" s="49" t="s">
        <v>59</v>
      </c>
      <c r="G18" s="56" t="s">
        <v>60</v>
      </c>
      <c r="H18" s="62">
        <v>18933</v>
      </c>
      <c r="I18" s="48">
        <v>260000000</v>
      </c>
      <c r="N18" s="21"/>
      <c r="O18" s="16" t="s">
        <v>35</v>
      </c>
      <c r="P18" s="16" t="s">
        <v>29</v>
      </c>
      <c r="Q18" s="20" t="s">
        <v>61</v>
      </c>
      <c r="S18" s="16"/>
      <c r="T18" s="16"/>
      <c r="U18" s="24"/>
      <c r="V18" s="12">
        <v>18946</v>
      </c>
      <c r="W18" s="23">
        <v>500000000</v>
      </c>
    </row>
    <row r="19" spans="1:23" x14ac:dyDescent="0.2">
      <c r="A19" s="12">
        <v>7</v>
      </c>
      <c r="B19" s="51" t="s">
        <v>62</v>
      </c>
      <c r="C19" s="54" t="s">
        <v>34</v>
      </c>
      <c r="D19" s="59">
        <v>26005399</v>
      </c>
      <c r="E19" s="57" t="s">
        <v>63</v>
      </c>
      <c r="F19" s="49" t="s">
        <v>64</v>
      </c>
      <c r="G19" s="50" t="s">
        <v>45</v>
      </c>
      <c r="H19" s="58">
        <v>18996</v>
      </c>
      <c r="I19" s="48">
        <v>5045473784</v>
      </c>
      <c r="N19" s="21"/>
      <c r="O19" s="26" t="s">
        <v>42</v>
      </c>
      <c r="P19" s="27">
        <v>2</v>
      </c>
      <c r="Q19" s="27">
        <v>2</v>
      </c>
      <c r="S19" s="16"/>
      <c r="T19" s="16"/>
      <c r="U19" s="22" t="s">
        <v>65</v>
      </c>
      <c r="V19" s="12">
        <v>18996</v>
      </c>
      <c r="W19" s="23">
        <v>5045473784</v>
      </c>
    </row>
    <row r="20" spans="1:23" x14ac:dyDescent="0.2">
      <c r="A20" s="12">
        <v>8</v>
      </c>
      <c r="B20" s="51" t="s">
        <v>62</v>
      </c>
      <c r="C20" s="54" t="s">
        <v>34</v>
      </c>
      <c r="D20" s="60">
        <v>26005399</v>
      </c>
      <c r="E20" s="57" t="s">
        <v>63</v>
      </c>
      <c r="F20" s="49" t="s">
        <v>66</v>
      </c>
      <c r="G20" s="56" t="s">
        <v>47</v>
      </c>
      <c r="H20" s="60">
        <v>18998</v>
      </c>
      <c r="I20" s="48">
        <v>403637903</v>
      </c>
      <c r="N20" s="21"/>
      <c r="O20" s="28" t="s">
        <v>49</v>
      </c>
      <c r="P20" s="29">
        <v>13</v>
      </c>
      <c r="Q20" s="29">
        <v>13</v>
      </c>
      <c r="S20" s="16"/>
      <c r="T20" s="16"/>
      <c r="U20" s="22"/>
      <c r="V20" s="12">
        <v>18998</v>
      </c>
      <c r="W20" s="23">
        <v>403637903</v>
      </c>
    </row>
    <row r="21" spans="1:23" x14ac:dyDescent="0.2">
      <c r="A21" s="12">
        <v>9</v>
      </c>
      <c r="B21" s="51" t="s">
        <v>62</v>
      </c>
      <c r="C21" s="54" t="s">
        <v>34</v>
      </c>
      <c r="D21" s="60">
        <v>26005399</v>
      </c>
      <c r="E21" s="57" t="s">
        <v>63</v>
      </c>
      <c r="F21" s="49" t="s">
        <v>67</v>
      </c>
      <c r="G21" s="50" t="s">
        <v>45</v>
      </c>
      <c r="H21" s="58">
        <v>19000</v>
      </c>
      <c r="I21" s="48">
        <v>11621192881</v>
      </c>
      <c r="N21" s="21"/>
      <c r="O21" s="28" t="s">
        <v>62</v>
      </c>
      <c r="P21" s="29">
        <v>2</v>
      </c>
      <c r="Q21" s="29">
        <v>2</v>
      </c>
      <c r="S21" s="16"/>
      <c r="T21" s="16"/>
      <c r="U21" s="24"/>
      <c r="V21" s="12">
        <v>19000</v>
      </c>
      <c r="W21" s="23">
        <v>3868314995</v>
      </c>
    </row>
    <row r="22" spans="1:23" x14ac:dyDescent="0.2">
      <c r="A22" s="12">
        <v>10</v>
      </c>
      <c r="B22" s="51" t="s">
        <v>68</v>
      </c>
      <c r="C22" s="54" t="s">
        <v>34</v>
      </c>
      <c r="D22" s="58">
        <v>26004701</v>
      </c>
      <c r="E22" s="54" t="s">
        <v>69</v>
      </c>
      <c r="F22" s="49" t="s">
        <v>70</v>
      </c>
      <c r="G22" s="50" t="s">
        <v>45</v>
      </c>
      <c r="H22" s="58">
        <v>18910</v>
      </c>
      <c r="I22" s="48">
        <v>9500000000</v>
      </c>
      <c r="N22" s="21"/>
      <c r="O22" s="28" t="s">
        <v>71</v>
      </c>
      <c r="P22" s="29">
        <v>3</v>
      </c>
      <c r="Q22" s="29">
        <v>3</v>
      </c>
      <c r="S22" s="16"/>
      <c r="T22" s="16"/>
      <c r="U22" s="24" t="s">
        <v>68</v>
      </c>
      <c r="V22" s="12">
        <v>18910</v>
      </c>
      <c r="W22" s="23">
        <v>9500000000</v>
      </c>
    </row>
    <row r="23" spans="1:23" x14ac:dyDescent="0.2">
      <c r="A23" s="12">
        <v>11</v>
      </c>
      <c r="B23" s="51" t="s">
        <v>68</v>
      </c>
      <c r="C23" s="54" t="s">
        <v>34</v>
      </c>
      <c r="D23" s="58">
        <v>26005788</v>
      </c>
      <c r="E23" s="54" t="s">
        <v>72</v>
      </c>
      <c r="F23" s="49" t="s">
        <v>73</v>
      </c>
      <c r="G23" s="50" t="s">
        <v>74</v>
      </c>
      <c r="H23" s="58" t="s">
        <v>75</v>
      </c>
      <c r="I23" s="48">
        <v>5000000000</v>
      </c>
      <c r="N23" s="21"/>
      <c r="O23" s="28" t="s">
        <v>76</v>
      </c>
      <c r="P23" s="29">
        <v>9</v>
      </c>
      <c r="Q23" s="29">
        <v>9</v>
      </c>
      <c r="S23" s="16"/>
      <c r="T23" s="16"/>
      <c r="U23" s="22" t="s">
        <v>76</v>
      </c>
      <c r="V23" s="12">
        <v>18472</v>
      </c>
      <c r="W23" s="23">
        <v>6373316503</v>
      </c>
    </row>
    <row r="24" spans="1:23" x14ac:dyDescent="0.2">
      <c r="A24" s="12">
        <v>12</v>
      </c>
      <c r="B24" s="51" t="s">
        <v>76</v>
      </c>
      <c r="C24" s="54" t="s">
        <v>34</v>
      </c>
      <c r="D24" s="59">
        <v>26005375</v>
      </c>
      <c r="E24" s="57" t="s">
        <v>77</v>
      </c>
      <c r="F24" s="49" t="s">
        <v>78</v>
      </c>
      <c r="G24" s="50" t="s">
        <v>45</v>
      </c>
      <c r="H24" s="58">
        <v>18978</v>
      </c>
      <c r="I24" s="48">
        <v>32675081455</v>
      </c>
      <c r="N24" s="21"/>
      <c r="O24" s="28" t="s">
        <v>79</v>
      </c>
      <c r="P24" s="29">
        <v>1</v>
      </c>
      <c r="Q24" s="29">
        <v>1</v>
      </c>
      <c r="S24" s="16"/>
      <c r="T24" s="16"/>
      <c r="U24" s="22"/>
      <c r="V24" s="12">
        <v>18978</v>
      </c>
      <c r="W24" s="23">
        <v>32527849269</v>
      </c>
    </row>
    <row r="25" spans="1:23" x14ac:dyDescent="0.2">
      <c r="A25" s="12">
        <v>13</v>
      </c>
      <c r="B25" s="51" t="s">
        <v>76</v>
      </c>
      <c r="C25" s="54" t="s">
        <v>34</v>
      </c>
      <c r="D25" s="60">
        <v>26005375</v>
      </c>
      <c r="E25" s="57" t="s">
        <v>77</v>
      </c>
      <c r="F25" s="49" t="s">
        <v>80</v>
      </c>
      <c r="G25" s="50" t="s">
        <v>47</v>
      </c>
      <c r="H25" s="58">
        <v>18984</v>
      </c>
      <c r="I25" s="48">
        <v>3300000000</v>
      </c>
      <c r="N25" s="21"/>
      <c r="O25" s="30" t="s">
        <v>81</v>
      </c>
      <c r="P25" s="29">
        <v>7</v>
      </c>
      <c r="Q25" s="29">
        <v>7</v>
      </c>
      <c r="S25" s="16"/>
      <c r="T25" s="16"/>
      <c r="U25" s="22"/>
      <c r="V25" s="12">
        <v>18984</v>
      </c>
      <c r="W25" s="23">
        <v>3627613990</v>
      </c>
    </row>
    <row r="26" spans="1:23" x14ac:dyDescent="0.2">
      <c r="A26" s="12">
        <v>14</v>
      </c>
      <c r="B26" s="51" t="s">
        <v>76</v>
      </c>
      <c r="C26" s="54" t="s">
        <v>34</v>
      </c>
      <c r="D26" s="60">
        <v>26005375</v>
      </c>
      <c r="E26" s="57" t="s">
        <v>77</v>
      </c>
      <c r="F26" s="49" t="s">
        <v>82</v>
      </c>
      <c r="G26" s="50" t="s">
        <v>45</v>
      </c>
      <c r="H26" s="58">
        <v>18472</v>
      </c>
      <c r="I26" s="48">
        <v>3308621583</v>
      </c>
      <c r="N26" s="21"/>
      <c r="O26" s="20" t="s">
        <v>61</v>
      </c>
      <c r="P26" s="31">
        <v>37</v>
      </c>
      <c r="Q26" s="31">
        <v>37</v>
      </c>
      <c r="S26" s="16"/>
      <c r="T26" s="16"/>
      <c r="U26" s="22"/>
      <c r="V26" s="12">
        <v>19143</v>
      </c>
      <c r="W26" s="23">
        <v>76024472789</v>
      </c>
    </row>
    <row r="27" spans="1:23" x14ac:dyDescent="0.2">
      <c r="A27" s="12">
        <v>15</v>
      </c>
      <c r="B27" s="51" t="s">
        <v>76</v>
      </c>
      <c r="C27" s="54" t="s">
        <v>34</v>
      </c>
      <c r="D27" s="60">
        <v>26005375</v>
      </c>
      <c r="E27" s="57" t="s">
        <v>77</v>
      </c>
      <c r="F27" s="49" t="s">
        <v>83</v>
      </c>
      <c r="G27" s="50" t="s">
        <v>84</v>
      </c>
      <c r="H27" s="58">
        <v>18978</v>
      </c>
      <c r="I27" s="48">
        <v>552530162</v>
      </c>
      <c r="N27" s="21"/>
      <c r="S27" s="16"/>
      <c r="T27" s="16"/>
      <c r="U27" s="24"/>
      <c r="V27" s="12">
        <v>19194</v>
      </c>
      <c r="W27" s="23">
        <v>810601805</v>
      </c>
    </row>
    <row r="28" spans="1:23" x14ac:dyDescent="0.2">
      <c r="A28" s="12">
        <v>16</v>
      </c>
      <c r="B28" s="51" t="s">
        <v>76</v>
      </c>
      <c r="C28" s="54" t="s">
        <v>34</v>
      </c>
      <c r="D28" s="60">
        <v>26005375</v>
      </c>
      <c r="E28" s="57" t="s">
        <v>77</v>
      </c>
      <c r="F28" s="49" t="s">
        <v>85</v>
      </c>
      <c r="G28" s="50" t="s">
        <v>84</v>
      </c>
      <c r="H28" s="58">
        <v>19194</v>
      </c>
      <c r="I28" s="48">
        <v>810601805</v>
      </c>
      <c r="N28" s="21"/>
      <c r="S28" s="16"/>
      <c r="T28" s="16"/>
      <c r="U28" s="22" t="s">
        <v>79</v>
      </c>
      <c r="V28" s="12">
        <v>18970</v>
      </c>
      <c r="W28" s="23">
        <v>2753325060</v>
      </c>
    </row>
    <row r="29" spans="1:23" x14ac:dyDescent="0.2">
      <c r="A29" s="12">
        <v>17</v>
      </c>
      <c r="B29" s="51" t="s">
        <v>76</v>
      </c>
      <c r="C29" s="54" t="s">
        <v>34</v>
      </c>
      <c r="D29" s="60">
        <v>26005375</v>
      </c>
      <c r="E29" s="57" t="s">
        <v>77</v>
      </c>
      <c r="F29" s="49" t="s">
        <v>86</v>
      </c>
      <c r="G29" s="50" t="s">
        <v>87</v>
      </c>
      <c r="H29" s="58">
        <v>19143</v>
      </c>
      <c r="I29" s="48">
        <v>72635632300</v>
      </c>
      <c r="N29" s="21"/>
      <c r="O29" s="25"/>
      <c r="P29" s="16"/>
      <c r="Q29" s="16"/>
      <c r="R29" s="16"/>
      <c r="S29" s="16"/>
      <c r="T29" s="16"/>
      <c r="U29" s="22"/>
      <c r="V29" s="12">
        <v>18986</v>
      </c>
      <c r="W29" s="23">
        <v>1176046140</v>
      </c>
    </row>
    <row r="30" spans="1:23" x14ac:dyDescent="0.2">
      <c r="A30" s="12">
        <v>18</v>
      </c>
      <c r="B30" s="51" t="s">
        <v>76</v>
      </c>
      <c r="C30" s="54" t="s">
        <v>34</v>
      </c>
      <c r="D30" s="60">
        <v>26005375</v>
      </c>
      <c r="E30" s="57" t="s">
        <v>77</v>
      </c>
      <c r="F30" s="49" t="s">
        <v>88</v>
      </c>
      <c r="G30" s="50" t="s">
        <v>87</v>
      </c>
      <c r="H30" s="58">
        <v>19143</v>
      </c>
      <c r="I30" s="48">
        <v>3336717456</v>
      </c>
      <c r="N30" s="21"/>
      <c r="O30" s="25"/>
      <c r="P30" s="16"/>
      <c r="Q30" s="16"/>
      <c r="R30" s="16"/>
      <c r="S30" s="16"/>
      <c r="T30" s="16"/>
      <c r="U30" s="22"/>
      <c r="V30" s="12">
        <v>18989</v>
      </c>
      <c r="W30" s="23">
        <v>570628800</v>
      </c>
    </row>
    <row r="31" spans="1:23" x14ac:dyDescent="0.2">
      <c r="A31" s="12">
        <v>19</v>
      </c>
      <c r="B31" s="51" t="s">
        <v>79</v>
      </c>
      <c r="C31" s="54"/>
      <c r="D31" s="54"/>
      <c r="E31" s="54"/>
      <c r="F31" s="54"/>
      <c r="G31" s="54"/>
      <c r="H31" s="54"/>
      <c r="I31" s="48">
        <v>6329697673</v>
      </c>
      <c r="N31" s="21"/>
      <c r="O31" s="25"/>
      <c r="P31" s="16"/>
      <c r="Q31" s="16"/>
      <c r="R31" s="16"/>
      <c r="S31" s="16"/>
      <c r="T31" s="16"/>
      <c r="U31" s="24"/>
      <c r="V31" s="12">
        <v>19383</v>
      </c>
      <c r="W31" s="23">
        <v>2400326473</v>
      </c>
    </row>
    <row r="32" spans="1:23" x14ac:dyDescent="0.2">
      <c r="B32" s="51" t="s">
        <v>81</v>
      </c>
      <c r="C32" s="54" t="s">
        <v>34</v>
      </c>
      <c r="D32" s="59">
        <v>26005429</v>
      </c>
      <c r="E32" s="57" t="s">
        <v>89</v>
      </c>
      <c r="F32" s="49" t="s">
        <v>90</v>
      </c>
      <c r="G32" s="50" t="s">
        <v>91</v>
      </c>
      <c r="H32" s="64">
        <v>19030</v>
      </c>
      <c r="I32" s="48">
        <v>17537522000</v>
      </c>
      <c r="N32" s="21"/>
      <c r="O32" s="25"/>
      <c r="P32" s="16"/>
      <c r="Q32" s="16"/>
      <c r="R32" s="16"/>
      <c r="S32" s="16"/>
      <c r="T32" s="16"/>
      <c r="U32" s="16"/>
    </row>
    <row r="33" spans="2:21" x14ac:dyDescent="0.2">
      <c r="B33" s="51" t="s">
        <v>81</v>
      </c>
      <c r="C33" s="54" t="s">
        <v>34</v>
      </c>
      <c r="D33" s="60">
        <v>26005429</v>
      </c>
      <c r="E33" s="57" t="s">
        <v>89</v>
      </c>
      <c r="F33" s="49" t="s">
        <v>92</v>
      </c>
      <c r="G33" s="50" t="s">
        <v>91</v>
      </c>
      <c r="H33" s="61">
        <v>19032</v>
      </c>
      <c r="I33" s="48">
        <v>650000000</v>
      </c>
      <c r="N33" s="21"/>
      <c r="O33" s="25"/>
      <c r="P33" s="16"/>
      <c r="Q33" s="16"/>
      <c r="R33" s="16"/>
      <c r="S33" s="16"/>
      <c r="T33" s="16"/>
      <c r="U33" s="16"/>
    </row>
    <row r="34" spans="2:21" x14ac:dyDescent="0.2">
      <c r="B34" s="55" t="s">
        <v>61</v>
      </c>
      <c r="C34" s="55"/>
      <c r="D34" s="50"/>
      <c r="E34" s="50"/>
      <c r="F34" s="50"/>
      <c r="G34" s="50"/>
      <c r="H34" s="63"/>
      <c r="I34" s="48">
        <v>200248842485</v>
      </c>
      <c r="N34" s="21"/>
      <c r="Q34" s="16"/>
      <c r="R34" s="16"/>
      <c r="S34" s="16"/>
      <c r="T34" s="16"/>
      <c r="U34" s="16"/>
    </row>
    <row r="35" spans="2:21" x14ac:dyDescent="0.2">
      <c r="B35"/>
      <c r="C35"/>
      <c r="D35"/>
      <c r="E35"/>
      <c r="F35"/>
      <c r="G35"/>
      <c r="H35"/>
      <c r="I35"/>
      <c r="N35" s="21"/>
      <c r="Q35" s="16"/>
      <c r="R35" s="16"/>
      <c r="S35" s="16"/>
      <c r="T35" s="16"/>
      <c r="U35" s="16"/>
    </row>
    <row r="36" spans="2:21" x14ac:dyDescent="0.2">
      <c r="B36"/>
      <c r="C36"/>
      <c r="D36"/>
      <c r="E36"/>
      <c r="F36"/>
      <c r="G36"/>
      <c r="H36"/>
      <c r="I36"/>
      <c r="N36" s="21"/>
      <c r="Q36" s="16"/>
      <c r="R36" s="16"/>
      <c r="S36" s="16"/>
      <c r="T36" s="16"/>
      <c r="U36" s="16"/>
    </row>
    <row r="37" spans="2:21" x14ac:dyDescent="0.2">
      <c r="B37" s="12"/>
      <c r="C37" s="12"/>
      <c r="D37" s="12"/>
      <c r="E37" s="12"/>
      <c r="F37" s="12"/>
      <c r="G37" s="12"/>
      <c r="H37" s="12"/>
      <c r="N37" s="21"/>
      <c r="Q37" s="16"/>
      <c r="R37" s="16"/>
      <c r="S37" s="16"/>
      <c r="T37" s="16"/>
      <c r="U37" s="16"/>
    </row>
    <row r="38" spans="2:21" x14ac:dyDescent="0.2">
      <c r="B38" s="12"/>
      <c r="C38" s="12"/>
      <c r="D38" s="12"/>
      <c r="E38" s="12"/>
      <c r="F38" s="12"/>
      <c r="G38" s="12"/>
      <c r="H38" s="12"/>
      <c r="N38" s="21"/>
      <c r="Q38" s="16"/>
      <c r="R38" s="16"/>
      <c r="S38" s="16"/>
      <c r="T38" s="16"/>
      <c r="U38" s="16"/>
    </row>
    <row r="39" spans="2:21" x14ac:dyDescent="0.2">
      <c r="B39" s="12"/>
      <c r="C39" s="12"/>
      <c r="D39" s="12"/>
      <c r="E39" s="12"/>
      <c r="F39" s="12"/>
      <c r="G39" s="12"/>
      <c r="H39" s="12"/>
      <c r="N39" s="21"/>
      <c r="Q39" s="16"/>
      <c r="R39" s="16"/>
      <c r="S39" s="16"/>
      <c r="T39" s="16"/>
      <c r="U39" s="16"/>
    </row>
    <row r="40" spans="2:21" x14ac:dyDescent="0.2">
      <c r="B40" s="12"/>
      <c r="C40" s="12"/>
      <c r="D40" s="12"/>
      <c r="E40" s="12"/>
      <c r="F40" s="12"/>
      <c r="G40" s="12"/>
      <c r="H40" s="12"/>
      <c r="N40" s="21"/>
      <c r="O40" s="12" t="s">
        <v>0</v>
      </c>
      <c r="P40" s="12" t="s">
        <v>34</v>
      </c>
      <c r="Q40" s="16"/>
      <c r="R40" s="16"/>
      <c r="S40" s="16"/>
      <c r="T40" s="16"/>
      <c r="U40" s="16"/>
    </row>
    <row r="41" spans="2:21" x14ac:dyDescent="0.2">
      <c r="B41" s="12"/>
      <c r="C41" s="12"/>
      <c r="D41" s="12"/>
      <c r="E41" s="12"/>
      <c r="F41" s="12"/>
      <c r="N41" s="21"/>
      <c r="O41" s="12" t="s">
        <v>38</v>
      </c>
      <c r="P41" s="32" t="s">
        <v>27</v>
      </c>
      <c r="Q41" s="16"/>
      <c r="R41" s="16"/>
      <c r="S41" s="16"/>
      <c r="T41" s="16"/>
      <c r="U41" s="16"/>
    </row>
    <row r="42" spans="2:21" x14ac:dyDescent="0.2">
      <c r="B42" s="12"/>
      <c r="C42" s="12"/>
      <c r="D42" s="12"/>
      <c r="E42" s="12"/>
      <c r="F42" s="12"/>
      <c r="N42" s="21"/>
      <c r="O42" s="20" t="s">
        <v>36</v>
      </c>
      <c r="P42" s="12" t="s">
        <v>27</v>
      </c>
      <c r="Q42" s="16"/>
      <c r="R42" s="16"/>
      <c r="S42" s="16"/>
      <c r="T42" s="16"/>
      <c r="U42" s="16"/>
    </row>
    <row r="43" spans="2:21" x14ac:dyDescent="0.2">
      <c r="B43" s="12"/>
      <c r="C43" s="12"/>
      <c r="D43" s="12"/>
      <c r="E43" s="12"/>
      <c r="F43" s="12"/>
      <c r="N43" s="21"/>
      <c r="O43" s="12" t="s">
        <v>48</v>
      </c>
      <c r="P43" s="20" t="s">
        <v>33</v>
      </c>
      <c r="Q43" s="16"/>
      <c r="R43" s="16"/>
      <c r="S43" s="16"/>
      <c r="T43" s="16"/>
      <c r="U43" s="16"/>
    </row>
    <row r="44" spans="2:21" x14ac:dyDescent="0.2">
      <c r="B44" s="12"/>
      <c r="C44" s="12"/>
      <c r="D44" s="12"/>
      <c r="E44" s="12"/>
      <c r="F44" s="12"/>
      <c r="N44" s="21"/>
      <c r="O44" s="12" t="s">
        <v>53</v>
      </c>
      <c r="P44" s="12" t="s">
        <v>27</v>
      </c>
      <c r="Q44" s="16"/>
      <c r="R44" s="16"/>
      <c r="S44" s="16"/>
      <c r="T44" s="16"/>
      <c r="U44" s="16"/>
    </row>
    <row r="45" spans="2:21" x14ac:dyDescent="0.2">
      <c r="B45" s="12"/>
      <c r="C45" s="12"/>
      <c r="D45" s="12"/>
      <c r="E45" s="12"/>
      <c r="F45" s="12"/>
      <c r="N45" s="21"/>
    </row>
    <row r="46" spans="2:21" x14ac:dyDescent="0.2">
      <c r="B46" s="12"/>
      <c r="C46" s="12"/>
      <c r="D46" s="12"/>
      <c r="E46" s="12"/>
      <c r="F46" s="12"/>
      <c r="N46" s="21"/>
      <c r="O46" s="12" t="s">
        <v>93</v>
      </c>
      <c r="P46" s="12" t="s">
        <v>28</v>
      </c>
    </row>
    <row r="47" spans="2:21" x14ac:dyDescent="0.2">
      <c r="B47" s="12"/>
      <c r="C47" s="12"/>
      <c r="D47" s="12"/>
      <c r="E47" s="12"/>
      <c r="F47" s="12"/>
      <c r="N47" s="21"/>
      <c r="O47" s="12" t="s">
        <v>35</v>
      </c>
      <c r="P47" s="12" t="s">
        <v>29</v>
      </c>
      <c r="Q47" s="20" t="s">
        <v>61</v>
      </c>
    </row>
    <row r="48" spans="2:21" x14ac:dyDescent="0.2">
      <c r="B48" s="12"/>
      <c r="C48" s="12"/>
      <c r="D48" s="12"/>
      <c r="E48" s="12"/>
      <c r="F48" s="12"/>
      <c r="N48" s="21"/>
      <c r="O48" s="12" t="s">
        <v>42</v>
      </c>
      <c r="P48" s="33">
        <v>6357337036</v>
      </c>
      <c r="Q48" s="33">
        <v>6357337036</v>
      </c>
    </row>
    <row r="49" spans="2:21" x14ac:dyDescent="0.2">
      <c r="B49" s="12"/>
      <c r="C49" s="12"/>
      <c r="D49" s="12"/>
      <c r="E49" s="12"/>
      <c r="F49" s="12"/>
      <c r="N49" s="21"/>
      <c r="O49" s="12" t="s">
        <v>49</v>
      </c>
      <c r="P49" s="33">
        <v>53748395957</v>
      </c>
      <c r="Q49" s="33">
        <v>53748395957</v>
      </c>
    </row>
    <row r="50" spans="2:21" x14ac:dyDescent="0.2">
      <c r="B50" s="12"/>
      <c r="C50" s="12"/>
      <c r="D50" s="12"/>
      <c r="E50" s="12"/>
      <c r="F50" s="12"/>
      <c r="N50" s="21"/>
      <c r="O50" s="12" t="s">
        <v>62</v>
      </c>
      <c r="P50" s="33">
        <v>5449111687</v>
      </c>
      <c r="Q50" s="33">
        <v>5449111687</v>
      </c>
    </row>
    <row r="51" spans="2:21" x14ac:dyDescent="0.2">
      <c r="B51" s="12"/>
      <c r="C51" s="12"/>
      <c r="D51" s="12"/>
      <c r="E51" s="12"/>
      <c r="F51" s="12"/>
      <c r="N51" s="21"/>
      <c r="O51" s="12" t="s">
        <v>71</v>
      </c>
      <c r="P51" s="33">
        <v>13408774400</v>
      </c>
      <c r="Q51" s="33">
        <v>13408774400</v>
      </c>
    </row>
    <row r="52" spans="2:21" x14ac:dyDescent="0.2">
      <c r="B52" s="12"/>
      <c r="C52" s="12"/>
      <c r="D52" s="12"/>
      <c r="E52" s="12"/>
      <c r="F52" s="12"/>
      <c r="N52" s="21"/>
      <c r="O52" s="12" t="s">
        <v>76</v>
      </c>
      <c r="P52" s="33">
        <v>151885576991</v>
      </c>
      <c r="Q52" s="33">
        <v>151885576991</v>
      </c>
    </row>
    <row r="53" spans="2:21" x14ac:dyDescent="0.2">
      <c r="B53" s="12"/>
      <c r="C53" s="12"/>
      <c r="D53" s="12"/>
      <c r="E53" s="12"/>
      <c r="F53" s="12"/>
      <c r="N53" s="21"/>
      <c r="O53" s="12" t="s">
        <v>79</v>
      </c>
      <c r="P53" s="33">
        <v>1176046140</v>
      </c>
      <c r="Q53" s="33">
        <v>1176046140</v>
      </c>
    </row>
    <row r="54" spans="2:21" x14ac:dyDescent="0.2">
      <c r="B54" s="12"/>
      <c r="C54" s="12"/>
      <c r="D54" s="12"/>
      <c r="E54" s="12"/>
      <c r="F54" s="12"/>
      <c r="N54" s="21"/>
      <c r="O54" s="12" t="s">
        <v>81</v>
      </c>
      <c r="P54" s="33">
        <v>73307978461.690002</v>
      </c>
      <c r="Q54" s="33">
        <v>73307978461.690002</v>
      </c>
    </row>
    <row r="55" spans="2:21" x14ac:dyDescent="0.2">
      <c r="B55" s="12"/>
      <c r="C55" s="12"/>
      <c r="D55" s="12"/>
      <c r="E55" s="12"/>
      <c r="F55" s="12"/>
      <c r="N55" s="21"/>
      <c r="O55" s="20" t="s">
        <v>61</v>
      </c>
      <c r="P55" s="33">
        <v>305333220672.69</v>
      </c>
      <c r="Q55" s="33">
        <v>305333220672.69</v>
      </c>
    </row>
    <row r="56" spans="2:21" x14ac:dyDescent="0.2">
      <c r="B56" s="12"/>
      <c r="C56" s="12"/>
      <c r="D56" s="12"/>
      <c r="E56" s="12"/>
      <c r="F56" s="12"/>
      <c r="N56" s="21"/>
    </row>
    <row r="57" spans="2:21" x14ac:dyDescent="0.2">
      <c r="B57" s="12"/>
      <c r="C57" s="12"/>
      <c r="D57" s="12"/>
      <c r="E57" s="12"/>
      <c r="F57" s="12"/>
      <c r="N57" s="21"/>
    </row>
    <row r="58" spans="2:21" x14ac:dyDescent="0.2">
      <c r="B58" s="12"/>
      <c r="C58" s="12"/>
      <c r="D58" s="12"/>
      <c r="E58" s="12"/>
      <c r="F58" s="12"/>
      <c r="N58" s="21"/>
    </row>
    <row r="59" spans="2:21" x14ac:dyDescent="0.2">
      <c r="B59" s="12"/>
      <c r="C59" s="12"/>
      <c r="D59" s="12"/>
      <c r="E59" s="12"/>
      <c r="F59" s="12"/>
      <c r="G59" s="12"/>
      <c r="H59" s="12"/>
      <c r="N59" s="21"/>
      <c r="O59" s="181" t="s">
        <v>35</v>
      </c>
      <c r="P59" s="34" t="s">
        <v>94</v>
      </c>
      <c r="Q59" s="34"/>
      <c r="R59" s="34" t="s">
        <v>95</v>
      </c>
      <c r="S59" s="34"/>
    </row>
    <row r="60" spans="2:21" x14ac:dyDescent="0.2">
      <c r="B60" s="12"/>
      <c r="C60" s="12"/>
      <c r="D60" s="12"/>
      <c r="E60" s="12"/>
      <c r="F60" s="12"/>
      <c r="G60" s="12"/>
      <c r="H60" s="12"/>
      <c r="N60" s="21"/>
      <c r="O60" s="182"/>
      <c r="P60" s="35" t="s">
        <v>96</v>
      </c>
      <c r="Q60" s="35" t="s">
        <v>97</v>
      </c>
      <c r="R60" s="35" t="s">
        <v>96</v>
      </c>
      <c r="S60" s="35" t="s">
        <v>97</v>
      </c>
    </row>
    <row r="61" spans="2:21" x14ac:dyDescent="0.2">
      <c r="B61" s="12"/>
      <c r="C61" s="12"/>
      <c r="D61" s="12"/>
      <c r="E61" s="12"/>
      <c r="F61" s="12"/>
      <c r="G61" s="12"/>
      <c r="H61" s="12"/>
      <c r="N61" s="21"/>
      <c r="O61" s="36" t="s">
        <v>98</v>
      </c>
      <c r="P61" s="33"/>
      <c r="Q61" s="33">
        <v>2900000000</v>
      </c>
      <c r="R61" s="33"/>
      <c r="S61" s="33">
        <v>2</v>
      </c>
      <c r="T61" s="37">
        <f>+S61+R61</f>
        <v>2</v>
      </c>
      <c r="U61" s="37">
        <f>+Q61+P61</f>
        <v>2900000000</v>
      </c>
    </row>
    <row r="62" spans="2:21" x14ac:dyDescent="0.2">
      <c r="B62" s="12"/>
      <c r="C62" s="12"/>
      <c r="D62" s="12"/>
      <c r="E62" s="12"/>
      <c r="F62" s="12"/>
      <c r="G62" s="12"/>
      <c r="H62" s="12"/>
      <c r="N62" s="21"/>
      <c r="O62" s="36" t="s">
        <v>42</v>
      </c>
      <c r="P62" s="33">
        <v>6357337036</v>
      </c>
      <c r="Q62" s="33">
        <v>1774379732.2999992</v>
      </c>
      <c r="R62" s="33">
        <v>2</v>
      </c>
      <c r="S62" s="33">
        <v>1</v>
      </c>
      <c r="T62" s="37">
        <f t="shared" ref="T62:T69" si="0">+S62+R62</f>
        <v>3</v>
      </c>
      <c r="U62" s="37">
        <f t="shared" ref="U62:U69" si="1">+Q62+P62</f>
        <v>8131716768.2999992</v>
      </c>
    </row>
    <row r="63" spans="2:21" x14ac:dyDescent="0.2">
      <c r="B63" s="12"/>
      <c r="C63" s="12"/>
      <c r="D63" s="12"/>
      <c r="E63" s="12"/>
      <c r="F63" s="12"/>
      <c r="G63" s="12"/>
      <c r="H63" s="12"/>
      <c r="N63" s="21"/>
      <c r="O63" s="36" t="s">
        <v>49</v>
      </c>
      <c r="P63" s="33">
        <v>55708874617</v>
      </c>
      <c r="Q63" s="33">
        <v>5263325000</v>
      </c>
      <c r="R63" s="33">
        <v>15</v>
      </c>
      <c r="S63" s="33">
        <v>2</v>
      </c>
      <c r="T63" s="37">
        <f t="shared" si="0"/>
        <v>17</v>
      </c>
      <c r="U63" s="37">
        <f t="shared" si="1"/>
        <v>60972199617</v>
      </c>
    </row>
    <row r="64" spans="2:21" x14ac:dyDescent="0.2">
      <c r="B64" s="12"/>
      <c r="C64" s="12"/>
      <c r="D64" s="12"/>
      <c r="E64" s="12"/>
      <c r="F64" s="12"/>
      <c r="G64" s="12"/>
      <c r="H64" s="12"/>
      <c r="K64" s="21"/>
      <c r="L64" s="21"/>
      <c r="M64" s="21"/>
      <c r="N64" s="21"/>
      <c r="O64" s="36" t="s">
        <v>62</v>
      </c>
      <c r="P64" s="33">
        <v>5449111687</v>
      </c>
      <c r="Q64" s="33">
        <v>12550888313</v>
      </c>
      <c r="R64" s="33">
        <v>2</v>
      </c>
      <c r="S64" s="33">
        <v>2</v>
      </c>
      <c r="T64" s="37">
        <f t="shared" si="0"/>
        <v>4</v>
      </c>
      <c r="U64" s="37">
        <f t="shared" si="1"/>
        <v>18000000000</v>
      </c>
    </row>
    <row r="65" spans="2:21" x14ac:dyDescent="0.2">
      <c r="B65" s="12"/>
      <c r="C65" s="12"/>
      <c r="D65" s="12"/>
      <c r="E65" s="12"/>
      <c r="F65" s="12"/>
      <c r="G65" s="12"/>
      <c r="H65" s="12"/>
      <c r="K65" s="21"/>
      <c r="L65" s="21"/>
      <c r="M65" s="21"/>
      <c r="N65" s="21"/>
      <c r="O65" s="36" t="s">
        <v>71</v>
      </c>
      <c r="P65" s="33">
        <v>14000000000</v>
      </c>
      <c r="Q65" s="33"/>
      <c r="R65" s="33">
        <v>4</v>
      </c>
      <c r="S65" s="33"/>
      <c r="T65" s="37">
        <f t="shared" si="0"/>
        <v>4</v>
      </c>
      <c r="U65" s="37">
        <f t="shared" si="1"/>
        <v>14000000000</v>
      </c>
    </row>
    <row r="66" spans="2:21" x14ac:dyDescent="0.2">
      <c r="B66" s="12"/>
      <c r="C66" s="12"/>
      <c r="D66" s="12"/>
      <c r="E66" s="12"/>
      <c r="F66" s="12"/>
      <c r="G66" s="12"/>
      <c r="H66" s="12"/>
      <c r="K66" s="21"/>
      <c r="L66" s="21"/>
      <c r="M66" s="21"/>
      <c r="N66" s="21"/>
      <c r="O66" s="36" t="s">
        <v>68</v>
      </c>
      <c r="P66" s="33"/>
      <c r="Q66" s="33">
        <v>27450000000</v>
      </c>
      <c r="R66" s="33"/>
      <c r="S66" s="33">
        <v>4</v>
      </c>
      <c r="T66" s="37">
        <f t="shared" si="0"/>
        <v>4</v>
      </c>
      <c r="U66" s="37">
        <f t="shared" si="1"/>
        <v>27450000000</v>
      </c>
    </row>
    <row r="67" spans="2:21" x14ac:dyDescent="0.2">
      <c r="B67" s="12"/>
      <c r="C67" s="12"/>
      <c r="D67" s="12"/>
      <c r="E67" s="12"/>
      <c r="F67" s="12"/>
      <c r="G67" s="12"/>
      <c r="H67" s="12"/>
      <c r="K67" s="21"/>
      <c r="L67" s="21"/>
      <c r="M67" s="21"/>
      <c r="N67" s="21"/>
      <c r="O67" s="36" t="s">
        <v>76</v>
      </c>
      <c r="P67" s="33">
        <v>155005319260</v>
      </c>
      <c r="Q67" s="33">
        <v>732787893</v>
      </c>
      <c r="R67" s="33">
        <v>7</v>
      </c>
      <c r="S67" s="33">
        <v>2</v>
      </c>
      <c r="T67" s="37">
        <f t="shared" si="0"/>
        <v>9</v>
      </c>
      <c r="U67" s="37">
        <f t="shared" si="1"/>
        <v>155738107153</v>
      </c>
    </row>
    <row r="68" spans="2:21" x14ac:dyDescent="0.2">
      <c r="B68" s="12"/>
      <c r="C68" s="12"/>
      <c r="D68" s="12"/>
      <c r="E68" s="12"/>
      <c r="F68" s="12"/>
      <c r="G68" s="12"/>
      <c r="H68" s="12"/>
      <c r="K68" s="21"/>
      <c r="L68" s="21"/>
      <c r="M68" s="21"/>
      <c r="N68" s="21"/>
      <c r="O68" s="36" t="s">
        <v>79</v>
      </c>
      <c r="P68" s="33">
        <v>4500000000</v>
      </c>
      <c r="Q68" s="33"/>
      <c r="R68" s="33">
        <v>4</v>
      </c>
      <c r="S68" s="33"/>
      <c r="T68" s="37">
        <f t="shared" si="0"/>
        <v>4</v>
      </c>
      <c r="U68" s="37">
        <f t="shared" si="1"/>
        <v>4500000000</v>
      </c>
    </row>
    <row r="69" spans="2:21" x14ac:dyDescent="0.2">
      <c r="B69" s="12"/>
      <c r="C69" s="12"/>
      <c r="D69" s="12"/>
      <c r="E69" s="12"/>
      <c r="F69" s="12"/>
      <c r="G69" s="12"/>
      <c r="H69" s="12"/>
      <c r="K69" s="21"/>
      <c r="L69" s="21"/>
      <c r="M69" s="21"/>
      <c r="N69" s="21"/>
      <c r="O69" s="36" t="s">
        <v>81</v>
      </c>
      <c r="P69" s="33">
        <v>41687522000</v>
      </c>
      <c r="Q69" s="33">
        <v>31620454462</v>
      </c>
      <c r="R69" s="33">
        <v>4</v>
      </c>
      <c r="S69" s="33">
        <v>2</v>
      </c>
      <c r="T69" s="37">
        <f t="shared" si="0"/>
        <v>6</v>
      </c>
      <c r="U69" s="37">
        <f t="shared" si="1"/>
        <v>73307976462</v>
      </c>
    </row>
    <row r="70" spans="2:21" x14ac:dyDescent="0.2">
      <c r="B70" s="12"/>
      <c r="C70" s="12"/>
      <c r="D70" s="12"/>
      <c r="E70" s="12"/>
      <c r="F70" s="12"/>
      <c r="G70" s="12"/>
      <c r="H70" s="12"/>
      <c r="K70" s="21"/>
      <c r="L70" s="21"/>
      <c r="M70" s="21"/>
      <c r="N70" s="21"/>
      <c r="O70" s="38" t="s">
        <v>61</v>
      </c>
      <c r="P70" s="39">
        <f>SUM(P61:P69)</f>
        <v>282708164600</v>
      </c>
      <c r="Q70" s="39">
        <f>SUM(Q61:Q69)</f>
        <v>82291835400.300003</v>
      </c>
      <c r="R70" s="39">
        <f>SUM(R61:R69)</f>
        <v>38</v>
      </c>
      <c r="S70" s="39">
        <f>SUM(S61:S69)</f>
        <v>15</v>
      </c>
    </row>
    <row r="71" spans="2:21" x14ac:dyDescent="0.2">
      <c r="B71" s="12"/>
      <c r="C71" s="12"/>
      <c r="D71" s="12"/>
      <c r="E71" s="12"/>
      <c r="F71" s="12"/>
      <c r="G71" s="12"/>
      <c r="H71" s="12"/>
      <c r="K71" s="21"/>
      <c r="L71" s="21"/>
      <c r="M71" s="21"/>
      <c r="N71" s="21"/>
    </row>
    <row r="72" spans="2:21" x14ac:dyDescent="0.2">
      <c r="B72" s="12"/>
      <c r="C72" s="12"/>
      <c r="D72" s="12"/>
      <c r="E72" s="12"/>
      <c r="F72" s="12"/>
      <c r="G72" s="12"/>
      <c r="H72" s="12"/>
      <c r="K72" s="21"/>
      <c r="L72" s="21"/>
      <c r="M72" s="21"/>
      <c r="N72" s="21"/>
    </row>
    <row r="73" spans="2:21" x14ac:dyDescent="0.2">
      <c r="B73" s="12"/>
      <c r="C73" s="12"/>
      <c r="D73" s="12"/>
      <c r="E73" s="12"/>
      <c r="F73" s="12"/>
      <c r="G73" s="12"/>
      <c r="H73" s="12"/>
    </row>
    <row r="74" spans="2:21" x14ac:dyDescent="0.2">
      <c r="B74" s="12"/>
      <c r="C74" s="12"/>
      <c r="D74" s="12"/>
      <c r="E74" s="12"/>
      <c r="F74" s="12"/>
      <c r="G74" s="12"/>
      <c r="H74" s="12"/>
      <c r="O74" s="40" t="s">
        <v>35</v>
      </c>
      <c r="P74" s="41" t="s">
        <v>99</v>
      </c>
      <c r="Q74" s="41" t="s">
        <v>95</v>
      </c>
    </row>
    <row r="75" spans="2:21" x14ac:dyDescent="0.2">
      <c r="B75" s="12"/>
      <c r="C75" s="12"/>
      <c r="D75" s="12"/>
      <c r="E75" s="12"/>
      <c r="F75" s="12"/>
      <c r="G75" s="12"/>
      <c r="H75" s="12"/>
      <c r="O75" s="36" t="s">
        <v>98</v>
      </c>
      <c r="P75" s="42">
        <v>2900000000</v>
      </c>
      <c r="Q75" s="43">
        <v>2</v>
      </c>
    </row>
    <row r="76" spans="2:21" x14ac:dyDescent="0.2">
      <c r="B76" s="12"/>
      <c r="C76" s="12"/>
      <c r="D76" s="12"/>
      <c r="E76" s="12"/>
      <c r="F76" s="12"/>
      <c r="G76" s="12"/>
      <c r="H76" s="12"/>
      <c r="O76" s="36" t="s">
        <v>42</v>
      </c>
      <c r="P76" s="42">
        <v>8131716768.2999992</v>
      </c>
      <c r="Q76" s="43">
        <v>3</v>
      </c>
    </row>
    <row r="77" spans="2:21" x14ac:dyDescent="0.2">
      <c r="B77" s="12"/>
      <c r="C77" s="12"/>
      <c r="D77" s="12"/>
      <c r="E77" s="12"/>
      <c r="F77" s="12"/>
      <c r="G77" s="12"/>
      <c r="H77" s="12"/>
      <c r="O77" s="36" t="s">
        <v>49</v>
      </c>
      <c r="P77" s="42">
        <v>60972199616.999992</v>
      </c>
      <c r="Q77" s="43">
        <v>17</v>
      </c>
    </row>
    <row r="78" spans="2:21" x14ac:dyDescent="0.2">
      <c r="B78" s="12"/>
      <c r="C78" s="12"/>
      <c r="D78" s="12"/>
      <c r="E78" s="12"/>
      <c r="F78" s="12"/>
      <c r="G78" s="12"/>
      <c r="H78" s="12"/>
      <c r="O78" s="36" t="s">
        <v>62</v>
      </c>
      <c r="P78" s="42">
        <v>18000000000</v>
      </c>
      <c r="Q78" s="44">
        <v>4</v>
      </c>
    </row>
    <row r="79" spans="2:21" x14ac:dyDescent="0.2">
      <c r="B79" s="12"/>
      <c r="C79" s="12"/>
      <c r="D79" s="12"/>
      <c r="E79" s="12"/>
      <c r="F79" s="12"/>
      <c r="G79" s="12"/>
      <c r="H79" s="12"/>
      <c r="O79" s="36" t="s">
        <v>71</v>
      </c>
      <c r="P79" s="42">
        <v>14000000000</v>
      </c>
      <c r="Q79" s="43">
        <v>2</v>
      </c>
    </row>
    <row r="80" spans="2:21" x14ac:dyDescent="0.2">
      <c r="B80" s="12"/>
      <c r="C80" s="12"/>
      <c r="D80" s="12"/>
      <c r="E80" s="12"/>
      <c r="F80" s="12"/>
      <c r="G80" s="12"/>
      <c r="H80" s="12"/>
      <c r="O80" s="36" t="s">
        <v>68</v>
      </c>
      <c r="P80" s="42">
        <v>27450000000</v>
      </c>
      <c r="Q80" s="43">
        <v>4</v>
      </c>
    </row>
    <row r="81" spans="2:17" x14ac:dyDescent="0.2">
      <c r="B81" s="12"/>
      <c r="C81" s="12"/>
      <c r="D81" s="12"/>
      <c r="E81" s="12"/>
      <c r="F81" s="12"/>
      <c r="G81" s="12"/>
      <c r="H81" s="12"/>
      <c r="O81" s="36" t="s">
        <v>76</v>
      </c>
      <c r="P81" s="42">
        <v>155738107153</v>
      </c>
      <c r="Q81" s="43">
        <v>9</v>
      </c>
    </row>
    <row r="82" spans="2:17" x14ac:dyDescent="0.2">
      <c r="B82" s="12"/>
      <c r="C82" s="12"/>
      <c r="D82" s="12"/>
      <c r="E82" s="12"/>
      <c r="F82" s="12"/>
      <c r="G82" s="12"/>
      <c r="H82" s="12"/>
      <c r="O82" s="36" t="s">
        <v>79</v>
      </c>
      <c r="P82" s="12">
        <v>4500000000</v>
      </c>
      <c r="Q82" s="12">
        <v>4</v>
      </c>
    </row>
    <row r="83" spans="2:17" x14ac:dyDescent="0.2">
      <c r="B83" s="12"/>
      <c r="C83" s="12"/>
      <c r="D83" s="12"/>
      <c r="E83" s="12"/>
      <c r="F83" s="12"/>
      <c r="G83" s="12"/>
      <c r="H83" s="12"/>
      <c r="O83" s="36" t="s">
        <v>81</v>
      </c>
      <c r="P83" s="12">
        <v>73307976462</v>
      </c>
      <c r="Q83" s="12">
        <v>6</v>
      </c>
    </row>
    <row r="84" spans="2:17" x14ac:dyDescent="0.2">
      <c r="B84" s="12"/>
      <c r="C84" s="12"/>
      <c r="D84" s="12"/>
      <c r="E84" s="12"/>
      <c r="F84" s="12"/>
      <c r="G84" s="12"/>
      <c r="H84" s="12"/>
    </row>
    <row r="85" spans="2:17" x14ac:dyDescent="0.2">
      <c r="B85" s="12"/>
      <c r="C85" s="12"/>
      <c r="D85" s="12"/>
      <c r="E85" s="12"/>
      <c r="F85" s="12"/>
      <c r="G85" s="12"/>
      <c r="H85" s="12"/>
    </row>
    <row r="86" spans="2:17" x14ac:dyDescent="0.2">
      <c r="B86" s="12"/>
      <c r="C86" s="12"/>
      <c r="D86" s="12"/>
      <c r="E86" s="12"/>
      <c r="F86" s="12"/>
      <c r="G86" s="12"/>
      <c r="H86" s="12"/>
      <c r="O86" s="40" t="s">
        <v>100</v>
      </c>
      <c r="P86" s="45">
        <v>276687477277</v>
      </c>
      <c r="Q86" s="41">
        <v>33</v>
      </c>
    </row>
    <row r="87" spans="2:17" x14ac:dyDescent="0.2">
      <c r="B87" s="12"/>
      <c r="C87" s="12"/>
      <c r="D87" s="12"/>
      <c r="E87" s="12"/>
      <c r="F87" s="12"/>
      <c r="G87" s="12"/>
      <c r="H87" s="12"/>
    </row>
    <row r="88" spans="2:17" x14ac:dyDescent="0.2">
      <c r="B88" s="12"/>
      <c r="C88" s="12"/>
      <c r="D88" s="12"/>
      <c r="E88" s="12"/>
      <c r="F88" s="12"/>
      <c r="G88" s="12"/>
      <c r="H88" s="12"/>
    </row>
    <row r="89" spans="2:17" x14ac:dyDescent="0.2">
      <c r="B89" s="12"/>
      <c r="C89" s="12"/>
      <c r="D89" s="12"/>
      <c r="E89" s="12"/>
      <c r="F89" s="12"/>
      <c r="G89" s="12"/>
      <c r="H89" s="12"/>
    </row>
    <row r="90" spans="2:17" x14ac:dyDescent="0.2">
      <c r="B90" s="12"/>
      <c r="C90" s="12"/>
      <c r="D90" s="12"/>
      <c r="E90" s="12"/>
      <c r="F90" s="12"/>
      <c r="G90" s="12"/>
      <c r="H90" s="12"/>
    </row>
    <row r="91" spans="2:17" x14ac:dyDescent="0.2">
      <c r="B91" s="12"/>
      <c r="C91" s="12"/>
      <c r="D91" s="12"/>
      <c r="E91" s="12"/>
      <c r="F91" s="12"/>
      <c r="G91" s="12"/>
      <c r="H91" s="12"/>
    </row>
    <row r="92" spans="2:17" x14ac:dyDescent="0.2">
      <c r="B92" s="12"/>
      <c r="C92" s="12"/>
      <c r="D92" s="12"/>
      <c r="E92" s="12"/>
      <c r="F92" s="12"/>
      <c r="G92" s="12"/>
      <c r="H92" s="12"/>
    </row>
    <row r="93" spans="2:17" x14ac:dyDescent="0.2">
      <c r="B93" s="12"/>
      <c r="C93" s="12"/>
      <c r="D93" s="12"/>
      <c r="E93" s="12"/>
      <c r="F93" s="12"/>
      <c r="G93" s="12"/>
      <c r="H93" s="12"/>
    </row>
    <row r="94" spans="2:17" x14ac:dyDescent="0.2">
      <c r="B94" s="12"/>
      <c r="C94" s="12"/>
      <c r="D94" s="12"/>
      <c r="E94" s="12"/>
      <c r="F94" s="12"/>
      <c r="G94" s="12"/>
      <c r="H94" s="12"/>
    </row>
    <row r="95" spans="2:17" x14ac:dyDescent="0.2">
      <c r="B95" s="12"/>
      <c r="C95" s="12"/>
      <c r="D95" s="12"/>
      <c r="E95" s="12"/>
      <c r="F95" s="12"/>
      <c r="G95" s="12"/>
      <c r="H95" s="12"/>
    </row>
    <row r="96" spans="2:17" x14ac:dyDescent="0.2">
      <c r="B96" s="12"/>
      <c r="C96" s="12"/>
      <c r="D96" s="12"/>
      <c r="E96" s="12"/>
      <c r="F96" s="12"/>
      <c r="G96" s="12"/>
      <c r="H96" s="12"/>
    </row>
    <row r="97" s="12" customFormat="1" x14ac:dyDescent="0.2"/>
    <row r="98" s="12" customFormat="1" x14ac:dyDescent="0.2"/>
    <row r="99" s="12" customFormat="1" x14ac:dyDescent="0.2"/>
    <row r="100" s="12" customFormat="1" x14ac:dyDescent="0.2"/>
    <row r="101" s="12" customFormat="1" x14ac:dyDescent="0.2"/>
    <row r="102" s="12" customFormat="1" x14ac:dyDescent="0.2"/>
    <row r="103" s="12" customFormat="1" x14ac:dyDescent="0.2"/>
    <row r="104" s="12" customFormat="1" x14ac:dyDescent="0.2"/>
    <row r="105" s="12" customFormat="1" x14ac:dyDescent="0.2"/>
    <row r="106" s="12" customFormat="1" x14ac:dyDescent="0.2"/>
    <row r="107" s="12" customFormat="1" x14ac:dyDescent="0.2"/>
    <row r="108" s="12" customFormat="1" x14ac:dyDescent="0.2"/>
    <row r="109" s="12" customFormat="1" x14ac:dyDescent="0.2"/>
    <row r="110" s="12" customFormat="1" x14ac:dyDescent="0.2"/>
    <row r="111" s="12" customFormat="1" x14ac:dyDescent="0.2"/>
    <row r="112" s="12" customFormat="1" x14ac:dyDescent="0.2"/>
    <row r="113" s="12" customFormat="1" x14ac:dyDescent="0.2"/>
    <row r="114" s="12" customFormat="1" x14ac:dyDescent="0.2"/>
    <row r="115" s="12" customFormat="1" x14ac:dyDescent="0.2"/>
    <row r="116" s="12" customFormat="1" x14ac:dyDescent="0.2"/>
    <row r="117" s="12" customFormat="1" x14ac:dyDescent="0.2"/>
    <row r="118" s="12" customFormat="1" x14ac:dyDescent="0.2"/>
    <row r="119" s="12" customFormat="1" x14ac:dyDescent="0.2"/>
    <row r="120" s="12" customFormat="1" x14ac:dyDescent="0.2"/>
    <row r="121" s="12" customFormat="1" x14ac:dyDescent="0.2"/>
    <row r="122" s="12" customFormat="1" x14ac:dyDescent="0.2"/>
  </sheetData>
  <mergeCells count="3">
    <mergeCell ref="B2:L2"/>
    <mergeCell ref="B3:L3"/>
    <mergeCell ref="O59:O60"/>
  </mergeCells>
  <hyperlinks>
    <hyperlink ref="P1" location="MENU!A1" display="Reresar" xr:uid="{FADC9E1D-DAA7-F349-B58A-16172FAA0C90}"/>
  </hyperlinks>
  <pageMargins left="0.70866141732283472" right="0.70866141732283472" top="0.74803149606299213" bottom="0.74803149606299213" header="0.31496062992125984" footer="0.31496062992125984"/>
  <pageSetup scale="40"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7B188-9303-8342-BF8D-9EEFCD7CAFEF}">
  <sheetPr codeName="Hoja4"/>
  <dimension ref="B1:BH63"/>
  <sheetViews>
    <sheetView topLeftCell="A37" zoomScale="75" workbookViewId="0">
      <selection activeCell="F24" sqref="F24"/>
    </sheetView>
  </sheetViews>
  <sheetFormatPr baseColWidth="10" defaultRowHeight="15" outlineLevelCol="1" x14ac:dyDescent="0.2"/>
  <cols>
    <col min="1" max="1" width="40.1640625" style="66" customWidth="1"/>
    <col min="2" max="2" width="6.6640625" style="66" customWidth="1"/>
    <col min="3" max="3" width="23" style="66" customWidth="1"/>
    <col min="4" max="4" width="48.33203125" style="66" customWidth="1"/>
    <col min="5" max="5" width="11.5" style="66" customWidth="1"/>
    <col min="6" max="6" width="28.33203125" style="66" customWidth="1"/>
    <col min="7" max="7" width="22.1640625" style="66" customWidth="1"/>
    <col min="8" max="8" width="17.33203125" style="66" bestFit="1" customWidth="1"/>
    <col min="9" max="9" width="14.6640625" style="75" customWidth="1"/>
    <col min="10" max="10" width="83.83203125" style="66" customWidth="1"/>
    <col min="11" max="11" width="24.33203125" style="75" bestFit="1" customWidth="1"/>
    <col min="12" max="13" width="22.1640625" style="66" customWidth="1"/>
    <col min="14" max="14" width="26.83203125" style="66" customWidth="1"/>
    <col min="15" max="27" width="3.33203125" style="66" customWidth="1" outlineLevel="1"/>
    <col min="28" max="28" width="20.33203125" style="66" customWidth="1"/>
    <col min="29" max="29" width="16" style="66" bestFit="1" customWidth="1"/>
    <col min="30" max="30" width="27.83203125" style="66" customWidth="1"/>
    <col min="31" max="31" width="56.33203125" style="66" bestFit="1" customWidth="1"/>
    <col min="32" max="32" width="17" style="66" customWidth="1"/>
    <col min="33" max="33" width="19.6640625" style="66" customWidth="1"/>
    <col min="34" max="35" width="10.83203125" style="66"/>
    <col min="36" max="36" width="25.33203125" style="66" customWidth="1"/>
    <col min="37" max="37" width="34.6640625" style="66" customWidth="1"/>
    <col min="38" max="39" width="27.5" style="66" customWidth="1"/>
    <col min="40" max="40" width="16.83203125" style="66" customWidth="1"/>
    <col min="41" max="41" width="22.6640625" style="66" customWidth="1"/>
    <col min="42" max="42" width="19.5" style="66" customWidth="1"/>
    <col min="43" max="43" width="10.83203125" style="66"/>
    <col min="44" max="44" width="24.83203125" style="66" customWidth="1"/>
    <col min="45" max="45" width="22" style="66" customWidth="1"/>
    <col min="46" max="46" width="30.83203125" style="66" customWidth="1"/>
    <col min="47" max="47" width="10.83203125" style="66"/>
    <col min="48" max="48" width="29.83203125" style="66" customWidth="1"/>
    <col min="49" max="49" width="10.83203125" style="66"/>
    <col min="50" max="50" width="11.6640625" style="66" customWidth="1"/>
    <col min="51" max="51" width="12.5" style="66" customWidth="1"/>
    <col min="52" max="52" width="19.33203125" style="66" customWidth="1"/>
    <col min="53" max="53" width="10.83203125" style="66"/>
    <col min="54" max="54" width="16.5" style="66" customWidth="1"/>
    <col min="55" max="55" width="17.83203125" style="66" customWidth="1"/>
    <col min="56" max="56" width="10.83203125" style="66"/>
    <col min="57" max="57" width="18.5" style="66" customWidth="1"/>
    <col min="58" max="58" width="14.33203125" style="66" customWidth="1"/>
    <col min="59" max="60" width="18.5" style="66" customWidth="1"/>
    <col min="61" max="16384" width="10.83203125" style="66"/>
  </cols>
  <sheetData>
    <row r="1" spans="2:60" hidden="1" x14ac:dyDescent="0.2">
      <c r="B1" s="66" t="s">
        <v>101</v>
      </c>
      <c r="C1" s="66" t="s">
        <v>102</v>
      </c>
      <c r="D1" s="66" t="s">
        <v>103</v>
      </c>
      <c r="E1" s="66" t="s">
        <v>104</v>
      </c>
      <c r="F1" s="66" t="s">
        <v>105</v>
      </c>
      <c r="G1" s="66" t="s">
        <v>106</v>
      </c>
      <c r="H1" s="66" t="s">
        <v>353</v>
      </c>
      <c r="I1" s="75" t="s">
        <v>354</v>
      </c>
      <c r="J1" s="66" t="s">
        <v>346</v>
      </c>
      <c r="K1" s="75" t="s">
        <v>361</v>
      </c>
      <c r="L1" s="66" t="s">
        <v>360</v>
      </c>
      <c r="M1" s="66" t="s">
        <v>363</v>
      </c>
      <c r="N1" s="66" t="s">
        <v>107</v>
      </c>
      <c r="O1" s="66" t="s">
        <v>108</v>
      </c>
      <c r="P1" s="66" t="s">
        <v>109</v>
      </c>
      <c r="Q1" s="66" t="s">
        <v>110</v>
      </c>
      <c r="R1" s="66" t="s">
        <v>111</v>
      </c>
      <c r="S1" s="66" t="s">
        <v>112</v>
      </c>
      <c r="T1" s="66" t="s">
        <v>113</v>
      </c>
      <c r="U1" s="66" t="s">
        <v>114</v>
      </c>
      <c r="V1" s="66" t="s">
        <v>115</v>
      </c>
      <c r="W1" s="66" t="s">
        <v>116</v>
      </c>
      <c r="X1" s="66" t="s">
        <v>117</v>
      </c>
      <c r="Y1" s="66" t="s">
        <v>118</v>
      </c>
      <c r="Z1" s="66" t="s">
        <v>119</v>
      </c>
      <c r="AA1" s="66" t="s">
        <v>120</v>
      </c>
      <c r="AB1" s="66" t="s">
        <v>121</v>
      </c>
      <c r="AC1" s="66" t="s">
        <v>122</v>
      </c>
      <c r="AD1" s="66" t="s">
        <v>123</v>
      </c>
      <c r="AE1" s="66" t="s">
        <v>124</v>
      </c>
      <c r="AF1" s="66" t="s">
        <v>125</v>
      </c>
      <c r="AG1" s="66" t="s">
        <v>126</v>
      </c>
      <c r="AH1" s="66" t="s">
        <v>40</v>
      </c>
      <c r="AI1" s="66" t="s">
        <v>127</v>
      </c>
      <c r="AJ1" s="66" t="s">
        <v>128</v>
      </c>
      <c r="AK1" s="66" t="s">
        <v>129</v>
      </c>
      <c r="AL1" s="66" t="s">
        <v>130</v>
      </c>
      <c r="AM1" s="66" t="s">
        <v>131</v>
      </c>
      <c r="AN1" s="66" t="s">
        <v>132</v>
      </c>
      <c r="AO1" s="66" t="s">
        <v>133</v>
      </c>
      <c r="AP1" s="66" t="s">
        <v>134</v>
      </c>
      <c r="AQ1" s="66" t="s">
        <v>135</v>
      </c>
      <c r="AR1" s="66" t="s">
        <v>136</v>
      </c>
      <c r="AS1" s="66" t="s">
        <v>137</v>
      </c>
      <c r="AT1" s="66" t="s">
        <v>138</v>
      </c>
      <c r="AU1" s="66" t="s">
        <v>139</v>
      </c>
      <c r="AV1" s="66" t="s">
        <v>140</v>
      </c>
      <c r="AW1" s="66" t="s">
        <v>141</v>
      </c>
      <c r="AX1" s="66" t="s">
        <v>142</v>
      </c>
      <c r="AY1" s="66" t="s">
        <v>143</v>
      </c>
      <c r="AZ1" s="66" t="s">
        <v>144</v>
      </c>
      <c r="BA1" s="66" t="s">
        <v>145</v>
      </c>
      <c r="BB1" s="66" t="s">
        <v>146</v>
      </c>
      <c r="BC1" s="66" t="s">
        <v>147</v>
      </c>
      <c r="BD1" s="66" t="s">
        <v>148</v>
      </c>
      <c r="BE1" s="66" t="s">
        <v>149</v>
      </c>
      <c r="BF1" s="66" t="s">
        <v>150</v>
      </c>
      <c r="BG1" s="66" t="s">
        <v>151</v>
      </c>
      <c r="BH1" s="66" t="s">
        <v>152</v>
      </c>
    </row>
    <row r="2" spans="2:60" hidden="1" x14ac:dyDescent="0.2">
      <c r="B2" s="66" t="s">
        <v>153</v>
      </c>
      <c r="C2" s="66" t="s">
        <v>154</v>
      </c>
      <c r="D2" s="66" t="s">
        <v>155</v>
      </c>
      <c r="E2" s="66">
        <v>2025</v>
      </c>
      <c r="F2" s="66" t="s">
        <v>156</v>
      </c>
      <c r="G2" s="66" t="s">
        <v>156</v>
      </c>
      <c r="N2" s="66">
        <v>5</v>
      </c>
      <c r="O2" s="66" t="s">
        <v>157</v>
      </c>
      <c r="P2" s="66" t="s">
        <v>158</v>
      </c>
      <c r="Q2" s="66" t="s">
        <v>159</v>
      </c>
      <c r="R2" s="66" t="s">
        <v>160</v>
      </c>
      <c r="W2" s="66" t="s">
        <v>161</v>
      </c>
      <c r="X2" s="66" t="s">
        <v>161</v>
      </c>
      <c r="Y2" s="66" t="s">
        <v>161</v>
      </c>
      <c r="Z2" s="66">
        <v>0</v>
      </c>
      <c r="AA2" s="66">
        <v>0</v>
      </c>
      <c r="AB2" s="66" t="s">
        <v>162</v>
      </c>
      <c r="AC2" s="66">
        <v>19333</v>
      </c>
      <c r="AD2" s="66" t="s">
        <v>163</v>
      </c>
      <c r="AE2" s="66" t="s">
        <v>164</v>
      </c>
      <c r="AF2" s="66" t="s">
        <v>165</v>
      </c>
      <c r="AG2" s="66" t="s">
        <v>166</v>
      </c>
      <c r="AH2" s="66">
        <v>1449</v>
      </c>
      <c r="AI2" s="66" t="s">
        <v>167</v>
      </c>
      <c r="AJ2" s="66" t="s">
        <v>168</v>
      </c>
      <c r="AK2" s="66">
        <v>0</v>
      </c>
      <c r="AL2" s="66">
        <v>0</v>
      </c>
      <c r="AN2" s="66" t="s">
        <v>20</v>
      </c>
      <c r="AO2" s="66" t="s">
        <v>169</v>
      </c>
      <c r="AP2" s="66" t="s">
        <v>170</v>
      </c>
      <c r="AS2" s="66" t="s">
        <v>171</v>
      </c>
      <c r="AU2" s="66" t="s">
        <v>172</v>
      </c>
      <c r="BC2" s="66" t="s">
        <v>161</v>
      </c>
      <c r="BD2" s="66" t="s">
        <v>173</v>
      </c>
      <c r="BF2" s="66" t="s">
        <v>20</v>
      </c>
      <c r="BG2" s="66">
        <v>0</v>
      </c>
      <c r="BH2" s="66">
        <v>0</v>
      </c>
    </row>
    <row r="3" spans="2:60" ht="32" hidden="1" x14ac:dyDescent="0.2">
      <c r="B3" s="66" t="s">
        <v>174</v>
      </c>
      <c r="C3" s="66" t="s">
        <v>175</v>
      </c>
      <c r="D3" s="66" t="s">
        <v>176</v>
      </c>
      <c r="E3" s="66">
        <v>2025</v>
      </c>
      <c r="F3" s="66" t="s">
        <v>156</v>
      </c>
      <c r="G3" s="66" t="s">
        <v>177</v>
      </c>
      <c r="N3" s="66">
        <v>195</v>
      </c>
      <c r="O3" s="66" t="s">
        <v>178</v>
      </c>
      <c r="P3" s="66" t="s">
        <v>179</v>
      </c>
      <c r="Q3" s="66" t="s">
        <v>159</v>
      </c>
      <c r="R3" s="66" t="s">
        <v>180</v>
      </c>
      <c r="S3" s="66" t="s">
        <v>181</v>
      </c>
      <c r="T3" s="66" t="s">
        <v>182</v>
      </c>
      <c r="U3" s="66" t="s">
        <v>183</v>
      </c>
      <c r="W3" s="66">
        <v>509962139</v>
      </c>
      <c r="X3" s="66">
        <v>0</v>
      </c>
      <c r="Y3" s="66">
        <v>509962139</v>
      </c>
      <c r="Z3" s="66">
        <v>599955458</v>
      </c>
      <c r="AA3" s="66">
        <v>509962139</v>
      </c>
      <c r="AB3" s="66" t="s">
        <v>184</v>
      </c>
      <c r="AC3" s="66">
        <v>18890</v>
      </c>
      <c r="AD3" s="66" t="s">
        <v>163</v>
      </c>
      <c r="AE3" s="66" t="s">
        <v>164</v>
      </c>
      <c r="AF3" s="66" t="s">
        <v>185</v>
      </c>
      <c r="AG3" s="66" t="s">
        <v>166</v>
      </c>
      <c r="AH3" s="66">
        <v>1449</v>
      </c>
      <c r="AI3" s="66" t="s">
        <v>167</v>
      </c>
      <c r="AJ3" s="66" t="s">
        <v>168</v>
      </c>
      <c r="AK3" s="66">
        <v>0</v>
      </c>
      <c r="AL3" s="66">
        <v>599955458</v>
      </c>
      <c r="AN3" s="66" t="s">
        <v>20</v>
      </c>
      <c r="AO3" s="66" t="s">
        <v>186</v>
      </c>
      <c r="AP3" s="66" t="s">
        <v>187</v>
      </c>
      <c r="AR3" s="113" t="s">
        <v>188</v>
      </c>
      <c r="AS3" s="66" t="s">
        <v>42</v>
      </c>
      <c r="AU3" s="66" t="s">
        <v>189</v>
      </c>
      <c r="AZ3" s="66">
        <v>0</v>
      </c>
      <c r="BC3" s="66" t="s">
        <v>190</v>
      </c>
      <c r="BD3" s="66" t="s">
        <v>191</v>
      </c>
      <c r="BF3" s="66" t="s">
        <v>20</v>
      </c>
      <c r="BG3" s="66">
        <v>0</v>
      </c>
      <c r="BH3" s="66">
        <v>0</v>
      </c>
    </row>
    <row r="4" spans="2:60" hidden="1" x14ac:dyDescent="0.2">
      <c r="B4" s="66" t="s">
        <v>174</v>
      </c>
      <c r="C4" s="66" t="s">
        <v>175</v>
      </c>
      <c r="D4" s="66" t="s">
        <v>192</v>
      </c>
      <c r="E4" s="66">
        <v>2025</v>
      </c>
      <c r="F4" s="66" t="s">
        <v>193</v>
      </c>
      <c r="G4" s="66" t="s">
        <v>177</v>
      </c>
      <c r="N4" s="66">
        <v>6</v>
      </c>
      <c r="O4" s="66" t="s">
        <v>157</v>
      </c>
      <c r="P4" s="66" t="s">
        <v>194</v>
      </c>
      <c r="Q4" s="66" t="s">
        <v>159</v>
      </c>
      <c r="R4" s="66" t="s">
        <v>195</v>
      </c>
      <c r="S4" s="66" t="s">
        <v>196</v>
      </c>
      <c r="T4" s="66" t="s">
        <v>197</v>
      </c>
      <c r="U4" s="66" t="s">
        <v>198</v>
      </c>
      <c r="W4" s="66">
        <v>411084718</v>
      </c>
      <c r="X4" s="66">
        <v>0</v>
      </c>
      <c r="Y4" s="66">
        <v>411084718</v>
      </c>
      <c r="Z4" s="66">
        <v>5700377800</v>
      </c>
      <c r="AA4" s="66">
        <v>4845321130</v>
      </c>
      <c r="AB4" s="66" t="s">
        <v>184</v>
      </c>
      <c r="AC4" s="66">
        <v>18889</v>
      </c>
      <c r="AD4" s="66" t="s">
        <v>163</v>
      </c>
      <c r="AE4" s="66" t="s">
        <v>199</v>
      </c>
      <c r="AF4" s="66" t="s">
        <v>200</v>
      </c>
      <c r="AG4" s="66" t="s">
        <v>201</v>
      </c>
      <c r="AH4" s="66">
        <v>1449</v>
      </c>
      <c r="AI4" s="66" t="s">
        <v>167</v>
      </c>
      <c r="AJ4" s="66" t="s">
        <v>168</v>
      </c>
      <c r="AK4" s="66">
        <v>0</v>
      </c>
      <c r="AL4" s="66">
        <v>5700377800</v>
      </c>
      <c r="AN4" s="66" t="s">
        <v>20</v>
      </c>
      <c r="AO4" s="66" t="s">
        <v>186</v>
      </c>
      <c r="AP4" s="66" t="s">
        <v>202</v>
      </c>
      <c r="AS4" s="66" t="s">
        <v>42</v>
      </c>
      <c r="AU4" s="66" t="s">
        <v>189</v>
      </c>
      <c r="AZ4" s="66">
        <v>0</v>
      </c>
      <c r="BC4" s="66" t="s">
        <v>190</v>
      </c>
      <c r="BD4" s="66" t="s">
        <v>203</v>
      </c>
      <c r="BF4" s="66" t="s">
        <v>20</v>
      </c>
      <c r="BG4" s="66">
        <v>1</v>
      </c>
      <c r="BH4" s="66">
        <v>1</v>
      </c>
    </row>
    <row r="5" spans="2:60" ht="112" hidden="1" x14ac:dyDescent="0.2">
      <c r="B5" s="66" t="s">
        <v>204</v>
      </c>
      <c r="C5" s="66" t="s">
        <v>205</v>
      </c>
      <c r="D5" s="113" t="s">
        <v>206</v>
      </c>
      <c r="E5" s="66">
        <v>2025</v>
      </c>
      <c r="F5" s="66" t="s">
        <v>156</v>
      </c>
      <c r="G5" s="66" t="s">
        <v>177</v>
      </c>
      <c r="N5" s="66">
        <v>4</v>
      </c>
      <c r="O5" s="66" t="s">
        <v>157</v>
      </c>
      <c r="P5" s="66" t="s">
        <v>207</v>
      </c>
      <c r="Q5" s="66" t="s">
        <v>159</v>
      </c>
      <c r="R5" s="66" t="s">
        <v>208</v>
      </c>
      <c r="S5" s="66" t="s">
        <v>209</v>
      </c>
      <c r="T5" s="66" t="s">
        <v>210</v>
      </c>
      <c r="U5" s="66" t="s">
        <v>183</v>
      </c>
      <c r="W5" s="66">
        <v>8651322217</v>
      </c>
      <c r="X5" s="66">
        <v>8151322217</v>
      </c>
      <c r="Y5" s="66">
        <v>500000000</v>
      </c>
      <c r="Z5" s="66">
        <v>500000000</v>
      </c>
      <c r="AA5" s="66">
        <v>500000000</v>
      </c>
      <c r="AB5" s="66" t="s">
        <v>162</v>
      </c>
      <c r="AC5" s="66">
        <v>18946</v>
      </c>
      <c r="AD5" s="66" t="s">
        <v>163</v>
      </c>
      <c r="AE5" s="66" t="s">
        <v>164</v>
      </c>
      <c r="AF5" s="66" t="s">
        <v>211</v>
      </c>
      <c r="AG5" s="66" t="s">
        <v>166</v>
      </c>
      <c r="AH5" s="66">
        <v>1449</v>
      </c>
      <c r="AI5" s="66" t="s">
        <v>167</v>
      </c>
      <c r="AJ5" s="66" t="s">
        <v>168</v>
      </c>
      <c r="AK5" s="66">
        <v>0</v>
      </c>
      <c r="AL5" s="66">
        <v>500000000</v>
      </c>
      <c r="AN5" s="66" t="s">
        <v>20</v>
      </c>
      <c r="AO5" s="66" t="s">
        <v>186</v>
      </c>
      <c r="AP5" s="66" t="s">
        <v>212</v>
      </c>
      <c r="AR5" s="113" t="s">
        <v>188</v>
      </c>
      <c r="AS5" s="66" t="s">
        <v>49</v>
      </c>
      <c r="AU5" s="66" t="s">
        <v>189</v>
      </c>
      <c r="AZ5" s="66">
        <v>0</v>
      </c>
      <c r="BC5" s="66" t="s">
        <v>213</v>
      </c>
      <c r="BD5" s="66" t="s">
        <v>214</v>
      </c>
      <c r="BF5" s="66" t="s">
        <v>20</v>
      </c>
      <c r="BG5" s="66">
        <v>0</v>
      </c>
      <c r="BH5" s="66">
        <v>0</v>
      </c>
    </row>
    <row r="6" spans="2:60" hidden="1" x14ac:dyDescent="0.2">
      <c r="B6" s="66" t="s">
        <v>204</v>
      </c>
      <c r="C6" s="66" t="s">
        <v>205</v>
      </c>
      <c r="D6" s="66" t="s">
        <v>215</v>
      </c>
      <c r="E6" s="66">
        <v>2025</v>
      </c>
      <c r="F6" s="66" t="s">
        <v>156</v>
      </c>
      <c r="G6" s="66" t="s">
        <v>177</v>
      </c>
      <c r="N6" s="66">
        <v>4</v>
      </c>
      <c r="O6" s="66" t="s">
        <v>157</v>
      </c>
      <c r="P6" s="66" t="s">
        <v>216</v>
      </c>
      <c r="Q6" s="66" t="s">
        <v>159</v>
      </c>
      <c r="R6" s="66" t="s">
        <v>217</v>
      </c>
      <c r="S6" s="66" t="s">
        <v>209</v>
      </c>
      <c r="T6" s="66" t="s">
        <v>210</v>
      </c>
      <c r="U6" s="66" t="s">
        <v>183</v>
      </c>
      <c r="W6" s="66">
        <v>8651322217</v>
      </c>
      <c r="X6" s="66">
        <v>8391322217</v>
      </c>
      <c r="Y6" s="66">
        <v>260000000</v>
      </c>
      <c r="Z6" s="66">
        <v>260000000</v>
      </c>
      <c r="AA6" s="66">
        <v>260000000</v>
      </c>
      <c r="AB6" s="66" t="s">
        <v>162</v>
      </c>
      <c r="AC6" s="66">
        <v>18933</v>
      </c>
      <c r="AD6" s="66" t="s">
        <v>218</v>
      </c>
      <c r="AE6" s="66" t="s">
        <v>164</v>
      </c>
      <c r="AF6" s="66" t="s">
        <v>211</v>
      </c>
      <c r="AG6" s="66" t="s">
        <v>166</v>
      </c>
      <c r="AH6" s="66">
        <v>1449</v>
      </c>
      <c r="AI6" s="66" t="s">
        <v>167</v>
      </c>
      <c r="AJ6" s="66" t="s">
        <v>168</v>
      </c>
      <c r="AK6" s="66">
        <v>0</v>
      </c>
      <c r="AL6" s="66">
        <v>260000000</v>
      </c>
      <c r="AM6" s="66">
        <v>1</v>
      </c>
      <c r="AN6" s="66" t="s">
        <v>20</v>
      </c>
      <c r="AO6" s="66" t="s">
        <v>186</v>
      </c>
      <c r="AP6" s="66" t="s">
        <v>219</v>
      </c>
      <c r="AS6" s="66" t="s">
        <v>49</v>
      </c>
      <c r="AU6" s="66" t="s">
        <v>189</v>
      </c>
      <c r="AZ6" s="66">
        <v>0</v>
      </c>
      <c r="BC6" s="66" t="s">
        <v>213</v>
      </c>
      <c r="BD6" s="66" t="s">
        <v>220</v>
      </c>
      <c r="BF6" s="66" t="s">
        <v>20</v>
      </c>
      <c r="BG6" s="66">
        <v>0</v>
      </c>
      <c r="BH6" s="66">
        <v>0</v>
      </c>
    </row>
    <row r="7" spans="2:60" hidden="1" x14ac:dyDescent="0.2">
      <c r="B7" s="66" t="s">
        <v>204</v>
      </c>
      <c r="C7" s="66" t="s">
        <v>205</v>
      </c>
      <c r="D7" s="66" t="s">
        <v>221</v>
      </c>
      <c r="E7" s="66">
        <v>2025</v>
      </c>
      <c r="F7" s="66" t="s">
        <v>177</v>
      </c>
      <c r="G7" s="66" t="s">
        <v>222</v>
      </c>
      <c r="N7" s="66">
        <v>3</v>
      </c>
      <c r="O7" s="66" t="s">
        <v>157</v>
      </c>
      <c r="P7" s="66" t="s">
        <v>223</v>
      </c>
      <c r="Q7" s="66" t="s">
        <v>159</v>
      </c>
      <c r="R7" s="66" t="s">
        <v>224</v>
      </c>
      <c r="S7" s="66" t="s">
        <v>225</v>
      </c>
      <c r="T7" s="66" t="s">
        <v>226</v>
      </c>
      <c r="U7" s="66" t="s">
        <v>227</v>
      </c>
      <c r="W7" s="66">
        <v>5413030367</v>
      </c>
      <c r="X7" s="66">
        <v>0</v>
      </c>
      <c r="Y7" s="66">
        <v>5413030367</v>
      </c>
      <c r="Z7" s="66">
        <v>15661471447</v>
      </c>
      <c r="AA7" s="66">
        <v>15661471447</v>
      </c>
      <c r="AB7" s="66" t="s">
        <v>162</v>
      </c>
      <c r="AC7" s="66">
        <v>18918</v>
      </c>
      <c r="AD7" s="66" t="s">
        <v>218</v>
      </c>
      <c r="AE7" s="66" t="s">
        <v>228</v>
      </c>
      <c r="AF7" s="66" t="s">
        <v>229</v>
      </c>
      <c r="AG7" s="66" t="s">
        <v>166</v>
      </c>
      <c r="AH7" s="66">
        <v>1449</v>
      </c>
      <c r="AI7" s="66" t="s">
        <v>167</v>
      </c>
      <c r="AJ7" s="66" t="s">
        <v>168</v>
      </c>
      <c r="AK7" s="66">
        <v>0</v>
      </c>
      <c r="AL7" s="66">
        <v>15661471447</v>
      </c>
      <c r="AM7" s="66">
        <v>1</v>
      </c>
      <c r="AN7" s="66" t="s">
        <v>20</v>
      </c>
      <c r="AO7" s="66" t="s">
        <v>186</v>
      </c>
      <c r="AP7" s="66" t="s">
        <v>230</v>
      </c>
      <c r="AS7" s="66" t="s">
        <v>49</v>
      </c>
      <c r="AU7" s="66" t="s">
        <v>189</v>
      </c>
      <c r="AZ7" s="66">
        <v>0</v>
      </c>
      <c r="BC7" s="66" t="s">
        <v>213</v>
      </c>
      <c r="BD7" s="66" t="s">
        <v>231</v>
      </c>
      <c r="BF7" s="66" t="s">
        <v>20</v>
      </c>
      <c r="BG7" s="66">
        <v>1</v>
      </c>
      <c r="BH7" s="66">
        <v>1</v>
      </c>
    </row>
    <row r="8" spans="2:60" ht="96" hidden="1" x14ac:dyDescent="0.2">
      <c r="B8" s="66" t="s">
        <v>232</v>
      </c>
      <c r="C8" s="66" t="s">
        <v>233</v>
      </c>
      <c r="D8" s="113" t="s">
        <v>234</v>
      </c>
      <c r="E8" s="66">
        <v>2025</v>
      </c>
      <c r="F8" s="66" t="s">
        <v>156</v>
      </c>
      <c r="G8" s="66" t="s">
        <v>177</v>
      </c>
      <c r="N8" s="66">
        <v>6</v>
      </c>
      <c r="O8" s="66" t="s">
        <v>157</v>
      </c>
      <c r="P8" s="66" t="s">
        <v>223</v>
      </c>
      <c r="Q8" s="66" t="s">
        <v>159</v>
      </c>
      <c r="R8" s="66" t="s">
        <v>235</v>
      </c>
      <c r="S8" s="66" t="s">
        <v>236</v>
      </c>
      <c r="T8" s="66" t="s">
        <v>237</v>
      </c>
      <c r="U8" s="66" t="s">
        <v>198</v>
      </c>
      <c r="W8" s="66">
        <v>3868314995</v>
      </c>
      <c r="X8" s="66">
        <v>0</v>
      </c>
      <c r="Y8" s="66">
        <v>3868314995</v>
      </c>
      <c r="Z8" s="66">
        <v>3868314995</v>
      </c>
      <c r="AA8" s="66">
        <v>3868314995</v>
      </c>
      <c r="AB8" s="66" t="s">
        <v>162</v>
      </c>
      <c r="AC8" s="66">
        <v>19000</v>
      </c>
      <c r="AD8" s="66" t="s">
        <v>163</v>
      </c>
      <c r="AE8" s="66" t="s">
        <v>199</v>
      </c>
      <c r="AF8" s="66" t="s">
        <v>200</v>
      </c>
      <c r="AG8" s="66" t="s">
        <v>166</v>
      </c>
      <c r="AH8" s="66">
        <v>1449</v>
      </c>
      <c r="AI8" s="66" t="s">
        <v>167</v>
      </c>
      <c r="AJ8" s="66" t="s">
        <v>168</v>
      </c>
      <c r="AK8" s="66">
        <v>0</v>
      </c>
      <c r="AL8" s="66">
        <v>3868314995</v>
      </c>
      <c r="AN8" s="66" t="s">
        <v>20</v>
      </c>
      <c r="AO8" s="66" t="s">
        <v>186</v>
      </c>
      <c r="AP8" s="66" t="s">
        <v>238</v>
      </c>
      <c r="AS8" s="66" t="s">
        <v>65</v>
      </c>
      <c r="AU8" s="66" t="s">
        <v>189</v>
      </c>
      <c r="AZ8" s="66">
        <v>0</v>
      </c>
      <c r="BC8" s="66" t="s">
        <v>239</v>
      </c>
      <c r="BD8" s="66" t="s">
        <v>240</v>
      </c>
      <c r="BF8" s="66" t="s">
        <v>20</v>
      </c>
      <c r="BG8" s="66">
        <v>0</v>
      </c>
      <c r="BH8" s="66">
        <v>0</v>
      </c>
    </row>
    <row r="9" spans="2:60" hidden="1" x14ac:dyDescent="0.2">
      <c r="B9" s="66" t="s">
        <v>232</v>
      </c>
      <c r="C9" s="66" t="s">
        <v>233</v>
      </c>
      <c r="D9" s="66" t="s">
        <v>241</v>
      </c>
      <c r="E9" s="66">
        <v>2025</v>
      </c>
      <c r="F9" s="66" t="s">
        <v>156</v>
      </c>
      <c r="G9" s="66" t="s">
        <v>177</v>
      </c>
      <c r="N9" s="66">
        <v>3</v>
      </c>
      <c r="O9" s="66" t="s">
        <v>157</v>
      </c>
      <c r="P9" s="66" t="s">
        <v>179</v>
      </c>
      <c r="Q9" s="66" t="s">
        <v>242</v>
      </c>
      <c r="R9" s="66" t="s">
        <v>243</v>
      </c>
      <c r="S9" s="66" t="s">
        <v>244</v>
      </c>
      <c r="T9" s="66" t="s">
        <v>245</v>
      </c>
      <c r="U9" s="66" t="s">
        <v>183</v>
      </c>
      <c r="W9" s="66">
        <v>403637903</v>
      </c>
      <c r="X9" s="66">
        <v>0</v>
      </c>
      <c r="Y9" s="66">
        <v>403637903</v>
      </c>
      <c r="Z9" s="66">
        <v>403637903</v>
      </c>
      <c r="AA9" s="66">
        <v>403637903</v>
      </c>
      <c r="AB9" s="66" t="s">
        <v>162</v>
      </c>
      <c r="AC9" s="66">
        <v>18998</v>
      </c>
      <c r="AD9" s="66" t="s">
        <v>163</v>
      </c>
      <c r="AE9" s="66" t="s">
        <v>164</v>
      </c>
      <c r="AF9" s="66" t="s">
        <v>185</v>
      </c>
      <c r="AG9" s="66" t="s">
        <v>166</v>
      </c>
      <c r="AH9" s="66">
        <v>1449</v>
      </c>
      <c r="AI9" s="66" t="s">
        <v>167</v>
      </c>
      <c r="AJ9" s="66" t="s">
        <v>168</v>
      </c>
      <c r="AK9" s="66">
        <v>0</v>
      </c>
      <c r="AL9" s="66">
        <v>403637903</v>
      </c>
      <c r="AN9" s="66" t="s">
        <v>20</v>
      </c>
      <c r="AO9" s="66" t="s">
        <v>186</v>
      </c>
      <c r="AP9" s="66" t="s">
        <v>246</v>
      </c>
      <c r="AS9" s="66" t="s">
        <v>65</v>
      </c>
      <c r="AU9" s="66" t="s">
        <v>189</v>
      </c>
      <c r="AZ9" s="66">
        <v>0</v>
      </c>
      <c r="BC9" s="66" t="s">
        <v>239</v>
      </c>
      <c r="BD9" s="66" t="s">
        <v>247</v>
      </c>
      <c r="BF9" s="66" t="s">
        <v>20</v>
      </c>
      <c r="BG9" s="66">
        <v>0</v>
      </c>
      <c r="BH9" s="66">
        <v>0</v>
      </c>
    </row>
    <row r="10" spans="2:60" hidden="1" x14ac:dyDescent="0.2">
      <c r="B10" s="66" t="s">
        <v>232</v>
      </c>
      <c r="C10" s="66" t="s">
        <v>233</v>
      </c>
      <c r="D10" s="66" t="s">
        <v>248</v>
      </c>
      <c r="E10" s="66">
        <v>2025</v>
      </c>
      <c r="F10" s="66" t="s">
        <v>193</v>
      </c>
      <c r="G10" s="66" t="s">
        <v>156</v>
      </c>
      <c r="N10" s="66">
        <v>3</v>
      </c>
      <c r="O10" s="66" t="s">
        <v>157</v>
      </c>
      <c r="P10" s="66" t="s">
        <v>223</v>
      </c>
      <c r="Q10" s="66" t="s">
        <v>159</v>
      </c>
      <c r="R10" s="66" t="s">
        <v>249</v>
      </c>
      <c r="S10" s="66" t="s">
        <v>250</v>
      </c>
      <c r="T10" s="66" t="s">
        <v>251</v>
      </c>
      <c r="U10" s="66" t="s">
        <v>198</v>
      </c>
      <c r="W10" s="66">
        <v>5045473784</v>
      </c>
      <c r="X10" s="66">
        <v>0</v>
      </c>
      <c r="Y10" s="66">
        <v>5045473784</v>
      </c>
      <c r="Z10" s="66">
        <v>5045473784</v>
      </c>
      <c r="AA10" s="66">
        <v>5045473784</v>
      </c>
      <c r="AB10" s="66" t="s">
        <v>162</v>
      </c>
      <c r="AC10" s="66">
        <v>18996</v>
      </c>
      <c r="AD10" s="66" t="s">
        <v>163</v>
      </c>
      <c r="AE10" s="66" t="s">
        <v>199</v>
      </c>
      <c r="AF10" s="66" t="s">
        <v>200</v>
      </c>
      <c r="AG10" s="66" t="s">
        <v>166</v>
      </c>
      <c r="AH10" s="66">
        <v>1449</v>
      </c>
      <c r="AI10" s="66" t="s">
        <v>167</v>
      </c>
      <c r="AJ10" s="66" t="s">
        <v>168</v>
      </c>
      <c r="AK10" s="66">
        <v>0</v>
      </c>
      <c r="AL10" s="66">
        <v>5045473784</v>
      </c>
      <c r="AN10" s="66" t="s">
        <v>20</v>
      </c>
      <c r="AO10" s="66" t="s">
        <v>186</v>
      </c>
      <c r="AP10" s="66" t="s">
        <v>252</v>
      </c>
      <c r="AS10" s="66" t="s">
        <v>65</v>
      </c>
      <c r="AU10" s="66" t="s">
        <v>189</v>
      </c>
      <c r="AZ10" s="66">
        <v>0</v>
      </c>
      <c r="BC10" s="66" t="s">
        <v>239</v>
      </c>
      <c r="BD10" s="66" t="s">
        <v>253</v>
      </c>
      <c r="BF10" s="66" t="s">
        <v>20</v>
      </c>
      <c r="BG10" s="66">
        <v>0</v>
      </c>
      <c r="BH10" s="66">
        <v>0</v>
      </c>
    </row>
    <row r="11" spans="2:60" hidden="1" x14ac:dyDescent="0.2">
      <c r="B11" s="66" t="s">
        <v>254</v>
      </c>
      <c r="C11" s="66" t="s">
        <v>255</v>
      </c>
      <c r="D11" s="66" t="s">
        <v>256</v>
      </c>
      <c r="E11" s="66">
        <v>2025</v>
      </c>
      <c r="F11" s="66" t="s">
        <v>177</v>
      </c>
      <c r="G11" s="66" t="s">
        <v>257</v>
      </c>
      <c r="N11" s="66">
        <v>6</v>
      </c>
      <c r="O11" s="66" t="s">
        <v>157</v>
      </c>
      <c r="P11" s="66" t="s">
        <v>194</v>
      </c>
      <c r="Q11" s="66" t="s">
        <v>159</v>
      </c>
      <c r="R11" s="66" t="s">
        <v>258</v>
      </c>
      <c r="S11" s="66" t="s">
        <v>259</v>
      </c>
      <c r="T11" s="66" t="s">
        <v>260</v>
      </c>
      <c r="U11" s="66" t="s">
        <v>198</v>
      </c>
      <c r="W11" s="66">
        <v>3316687500</v>
      </c>
      <c r="X11" s="66">
        <v>0</v>
      </c>
      <c r="Y11" s="66">
        <v>3316687500</v>
      </c>
      <c r="Z11" s="66">
        <v>9500000000</v>
      </c>
      <c r="AA11" s="66">
        <v>3316687500</v>
      </c>
      <c r="AB11" s="66" t="s">
        <v>184</v>
      </c>
      <c r="AC11" s="66">
        <v>18910</v>
      </c>
      <c r="AD11" s="66" t="s">
        <v>163</v>
      </c>
      <c r="AE11" s="66" t="s">
        <v>199</v>
      </c>
      <c r="AF11" s="66" t="s">
        <v>200</v>
      </c>
      <c r="AG11" s="66" t="s">
        <v>261</v>
      </c>
      <c r="AH11" s="66">
        <v>1449</v>
      </c>
      <c r="AI11" s="66" t="s">
        <v>167</v>
      </c>
      <c r="AJ11" s="66" t="s">
        <v>168</v>
      </c>
      <c r="AK11" s="66">
        <v>0</v>
      </c>
      <c r="AL11" s="66">
        <v>9500000000</v>
      </c>
      <c r="AN11" s="66" t="s">
        <v>20</v>
      </c>
      <c r="AO11" s="66" t="s">
        <v>186</v>
      </c>
      <c r="AP11" s="66" t="s">
        <v>262</v>
      </c>
      <c r="AS11" s="66" t="s">
        <v>68</v>
      </c>
      <c r="AU11" s="66" t="s">
        <v>189</v>
      </c>
      <c r="AZ11" s="66">
        <v>0</v>
      </c>
      <c r="BC11" s="66" t="s">
        <v>263</v>
      </c>
      <c r="BD11" s="66" t="s">
        <v>264</v>
      </c>
      <c r="BF11" s="66" t="s">
        <v>20</v>
      </c>
      <c r="BG11" s="66">
        <v>1</v>
      </c>
      <c r="BH11" s="66">
        <v>1</v>
      </c>
    </row>
    <row r="12" spans="2:60" hidden="1" x14ac:dyDescent="0.2">
      <c r="B12" s="66" t="s">
        <v>265</v>
      </c>
      <c r="C12" s="66" t="s">
        <v>266</v>
      </c>
      <c r="D12" s="66" t="s">
        <v>267</v>
      </c>
      <c r="E12" s="66">
        <v>2025</v>
      </c>
      <c r="F12" s="66" t="s">
        <v>156</v>
      </c>
      <c r="G12" s="66" t="s">
        <v>156</v>
      </c>
      <c r="N12" s="66">
        <v>168</v>
      </c>
      <c r="O12" s="66" t="s">
        <v>157</v>
      </c>
      <c r="P12" s="66" t="s">
        <v>268</v>
      </c>
      <c r="Q12" s="66" t="s">
        <v>159</v>
      </c>
      <c r="R12" s="66" t="s">
        <v>160</v>
      </c>
      <c r="W12" s="66" t="s">
        <v>161</v>
      </c>
      <c r="X12" s="66" t="s">
        <v>161</v>
      </c>
      <c r="Y12" s="66" t="s">
        <v>161</v>
      </c>
      <c r="Z12" s="66">
        <v>0</v>
      </c>
      <c r="AA12" s="66">
        <v>0</v>
      </c>
      <c r="AB12" s="66" t="s">
        <v>162</v>
      </c>
      <c r="AC12" s="66">
        <v>19385</v>
      </c>
      <c r="AD12" s="66" t="s">
        <v>163</v>
      </c>
      <c r="AE12" s="66" t="s">
        <v>164</v>
      </c>
      <c r="AF12" s="66" t="s">
        <v>269</v>
      </c>
      <c r="AG12" s="66" t="s">
        <v>166</v>
      </c>
      <c r="AH12" s="66">
        <v>1449</v>
      </c>
      <c r="AI12" s="66" t="s">
        <v>167</v>
      </c>
      <c r="AJ12" s="66" t="s">
        <v>168</v>
      </c>
      <c r="AK12" s="66">
        <v>0</v>
      </c>
      <c r="AL12" s="66">
        <v>0</v>
      </c>
      <c r="AN12" s="66" t="s">
        <v>20</v>
      </c>
      <c r="AO12" s="66" t="s">
        <v>186</v>
      </c>
      <c r="AP12" s="66" t="s">
        <v>270</v>
      </c>
      <c r="AS12" s="66" t="s">
        <v>271</v>
      </c>
      <c r="AU12" s="66" t="s">
        <v>172</v>
      </c>
      <c r="BC12" s="66" t="s">
        <v>161</v>
      </c>
      <c r="BD12" s="66" t="s">
        <v>272</v>
      </c>
      <c r="BF12" s="66" t="s">
        <v>20</v>
      </c>
      <c r="BG12" s="66">
        <v>0</v>
      </c>
      <c r="BH12" s="66">
        <v>0</v>
      </c>
    </row>
    <row r="13" spans="2:60" hidden="1" x14ac:dyDescent="0.2">
      <c r="B13" s="66" t="s">
        <v>265</v>
      </c>
      <c r="C13" s="66" t="s">
        <v>266</v>
      </c>
      <c r="D13" s="66" t="s">
        <v>273</v>
      </c>
      <c r="E13" s="66">
        <v>2025</v>
      </c>
      <c r="F13" s="66" t="s">
        <v>193</v>
      </c>
      <c r="G13" s="66" t="s">
        <v>193</v>
      </c>
      <c r="N13" s="66">
        <v>120</v>
      </c>
      <c r="O13" s="66" t="s">
        <v>157</v>
      </c>
      <c r="P13" s="66" t="s">
        <v>268</v>
      </c>
      <c r="Q13" s="66" t="s">
        <v>159</v>
      </c>
      <c r="R13" s="66" t="s">
        <v>160</v>
      </c>
      <c r="W13" s="66" t="s">
        <v>161</v>
      </c>
      <c r="X13" s="66" t="s">
        <v>161</v>
      </c>
      <c r="Y13" s="66" t="s">
        <v>161</v>
      </c>
      <c r="Z13" s="66">
        <v>0</v>
      </c>
      <c r="AA13" s="66">
        <v>0</v>
      </c>
      <c r="AB13" s="66" t="s">
        <v>162</v>
      </c>
      <c r="AC13" s="66">
        <v>19124</v>
      </c>
      <c r="AD13" s="66" t="s">
        <v>163</v>
      </c>
      <c r="AE13" s="66" t="s">
        <v>164</v>
      </c>
      <c r="AF13" s="66" t="s">
        <v>269</v>
      </c>
      <c r="AG13" s="66" t="s">
        <v>166</v>
      </c>
      <c r="AH13" s="66">
        <v>1449</v>
      </c>
      <c r="AI13" s="66" t="s">
        <v>167</v>
      </c>
      <c r="AJ13" s="66" t="s">
        <v>168</v>
      </c>
      <c r="AK13" s="66">
        <v>0</v>
      </c>
      <c r="AL13" s="66">
        <v>0</v>
      </c>
      <c r="AN13" s="66" t="s">
        <v>20</v>
      </c>
      <c r="AO13" s="66" t="s">
        <v>186</v>
      </c>
      <c r="AP13" s="66" t="s">
        <v>274</v>
      </c>
      <c r="AS13" s="66" t="s">
        <v>271</v>
      </c>
      <c r="AT13" s="114">
        <v>45835</v>
      </c>
      <c r="AU13" s="66" t="s">
        <v>172</v>
      </c>
      <c r="BC13" s="66" t="s">
        <v>161</v>
      </c>
      <c r="BD13" s="66" t="s">
        <v>275</v>
      </c>
      <c r="BF13" s="66" t="s">
        <v>20</v>
      </c>
      <c r="BG13" s="66">
        <v>0</v>
      </c>
      <c r="BH13" s="66">
        <v>0</v>
      </c>
    </row>
    <row r="14" spans="2:60" ht="32" hidden="1" x14ac:dyDescent="0.2">
      <c r="B14" s="66" t="s">
        <v>276</v>
      </c>
      <c r="C14" s="66" t="s">
        <v>277</v>
      </c>
      <c r="D14" s="66" t="s">
        <v>278</v>
      </c>
      <c r="E14" s="66">
        <v>2025</v>
      </c>
      <c r="F14" s="66" t="s">
        <v>156</v>
      </c>
      <c r="G14" s="66" t="s">
        <v>156</v>
      </c>
      <c r="N14" s="66">
        <v>4</v>
      </c>
      <c r="O14" s="66" t="s">
        <v>157</v>
      </c>
      <c r="P14" s="66" t="s">
        <v>216</v>
      </c>
      <c r="Q14" s="66" t="s">
        <v>159</v>
      </c>
      <c r="R14" s="66" t="s">
        <v>279</v>
      </c>
      <c r="S14" s="66" t="s">
        <v>280</v>
      </c>
      <c r="T14" s="66" t="s">
        <v>281</v>
      </c>
      <c r="U14" s="66" t="s">
        <v>198</v>
      </c>
      <c r="W14" s="66">
        <v>810601805</v>
      </c>
      <c r="X14" s="66">
        <v>0</v>
      </c>
      <c r="Y14" s="66">
        <v>810601805</v>
      </c>
      <c r="Z14" s="66">
        <v>810601805</v>
      </c>
      <c r="AA14" s="66">
        <v>810601805</v>
      </c>
      <c r="AB14" s="66" t="s">
        <v>162</v>
      </c>
      <c r="AC14" s="66">
        <v>19194</v>
      </c>
      <c r="AD14" s="66" t="s">
        <v>163</v>
      </c>
      <c r="AE14" s="66" t="s">
        <v>199</v>
      </c>
      <c r="AF14" s="66" t="s">
        <v>282</v>
      </c>
      <c r="AG14" s="66" t="s">
        <v>283</v>
      </c>
      <c r="AH14" s="66">
        <v>1449</v>
      </c>
      <c r="AI14" s="66" t="s">
        <v>167</v>
      </c>
      <c r="AJ14" s="66" t="s">
        <v>168</v>
      </c>
      <c r="AK14" s="66">
        <v>0</v>
      </c>
      <c r="AL14" s="66">
        <v>810601805</v>
      </c>
      <c r="AN14" s="66" t="s">
        <v>20</v>
      </c>
      <c r="AO14" s="66" t="s">
        <v>186</v>
      </c>
      <c r="AP14" s="66" t="s">
        <v>284</v>
      </c>
      <c r="AR14" s="113" t="s">
        <v>188</v>
      </c>
      <c r="AS14" s="66" t="s">
        <v>76</v>
      </c>
      <c r="AU14" s="66" t="s">
        <v>189</v>
      </c>
      <c r="AZ14" s="66">
        <v>810601805</v>
      </c>
      <c r="BC14" s="66" t="s">
        <v>285</v>
      </c>
      <c r="BD14" s="66" t="s">
        <v>286</v>
      </c>
      <c r="BF14" s="66" t="s">
        <v>20</v>
      </c>
      <c r="BG14" s="66">
        <v>0</v>
      </c>
      <c r="BH14" s="66">
        <v>0</v>
      </c>
    </row>
    <row r="15" spans="2:60" hidden="1" x14ac:dyDescent="0.2">
      <c r="B15" s="66" t="s">
        <v>276</v>
      </c>
      <c r="C15" s="66" t="s">
        <v>277</v>
      </c>
      <c r="D15" s="66" t="s">
        <v>287</v>
      </c>
      <c r="E15" s="66">
        <v>2025</v>
      </c>
      <c r="F15" s="66" t="s">
        <v>156</v>
      </c>
      <c r="G15" s="66" t="s">
        <v>156</v>
      </c>
      <c r="N15" s="66">
        <v>1</v>
      </c>
      <c r="O15" s="66" t="s">
        <v>157</v>
      </c>
      <c r="P15" s="66" t="s">
        <v>288</v>
      </c>
      <c r="Q15" s="66" t="s">
        <v>289</v>
      </c>
      <c r="R15" s="66" t="s">
        <v>290</v>
      </c>
      <c r="S15" s="66" t="s">
        <v>291</v>
      </c>
      <c r="T15" s="66" t="s">
        <v>292</v>
      </c>
      <c r="U15" s="66" t="s">
        <v>293</v>
      </c>
      <c r="W15" s="66">
        <v>52123033</v>
      </c>
      <c r="X15" s="66">
        <v>0</v>
      </c>
      <c r="Y15" s="66">
        <v>52123033</v>
      </c>
      <c r="Z15" s="66">
        <v>76024472789</v>
      </c>
      <c r="AA15" s="66">
        <v>76024472789</v>
      </c>
      <c r="AB15" s="66" t="s">
        <v>162</v>
      </c>
      <c r="AC15" s="66">
        <v>19143</v>
      </c>
      <c r="AD15" s="66" t="s">
        <v>218</v>
      </c>
      <c r="AE15" s="66" t="s">
        <v>228</v>
      </c>
      <c r="AF15" s="66" t="s">
        <v>294</v>
      </c>
      <c r="AG15" s="66" t="s">
        <v>166</v>
      </c>
      <c r="AH15" s="66">
        <v>1449</v>
      </c>
      <c r="AI15" s="66" t="s">
        <v>167</v>
      </c>
      <c r="AJ15" s="66" t="s">
        <v>168</v>
      </c>
      <c r="AK15" s="66">
        <v>0</v>
      </c>
      <c r="AL15" s="66">
        <v>76024472789</v>
      </c>
      <c r="AM15" s="66">
        <v>2</v>
      </c>
      <c r="AN15" s="66" t="s">
        <v>20</v>
      </c>
      <c r="AO15" s="66" t="s">
        <v>186</v>
      </c>
      <c r="AP15" s="66" t="s">
        <v>295</v>
      </c>
      <c r="AS15" s="66" t="s">
        <v>76</v>
      </c>
      <c r="AU15" s="66" t="s">
        <v>296</v>
      </c>
      <c r="AZ15" s="66">
        <v>0</v>
      </c>
      <c r="BC15" s="66" t="s">
        <v>297</v>
      </c>
      <c r="BD15" s="66" t="s">
        <v>298</v>
      </c>
      <c r="BF15" s="66" t="s">
        <v>20</v>
      </c>
      <c r="BG15" s="66">
        <v>1</v>
      </c>
      <c r="BH15" s="66">
        <v>0</v>
      </c>
    </row>
    <row r="16" spans="2:60" hidden="1" x14ac:dyDescent="0.2">
      <c r="B16" s="66" t="s">
        <v>276</v>
      </c>
      <c r="C16" s="66" t="s">
        <v>277</v>
      </c>
      <c r="D16" s="66" t="s">
        <v>299</v>
      </c>
      <c r="E16" s="66">
        <v>2025</v>
      </c>
      <c r="F16" s="66" t="s">
        <v>156</v>
      </c>
      <c r="G16" s="66" t="s">
        <v>156</v>
      </c>
      <c r="N16" s="66">
        <v>3</v>
      </c>
      <c r="O16" s="66" t="s">
        <v>157</v>
      </c>
      <c r="P16" s="66" t="s">
        <v>179</v>
      </c>
      <c r="Q16" s="66" t="s">
        <v>289</v>
      </c>
      <c r="R16" s="66" t="s">
        <v>300</v>
      </c>
      <c r="S16" s="66" t="s">
        <v>301</v>
      </c>
      <c r="T16" s="66" t="s">
        <v>302</v>
      </c>
      <c r="U16" s="66" t="s">
        <v>183</v>
      </c>
      <c r="W16" s="66">
        <v>110287387</v>
      </c>
      <c r="X16" s="66">
        <v>0</v>
      </c>
      <c r="Y16" s="66">
        <v>110287387</v>
      </c>
      <c r="Z16" s="66">
        <v>3627613990</v>
      </c>
      <c r="AA16" s="66">
        <v>3627613990</v>
      </c>
      <c r="AB16" s="66" t="s">
        <v>162</v>
      </c>
      <c r="AC16" s="66">
        <v>18984</v>
      </c>
      <c r="AD16" s="66" t="s">
        <v>218</v>
      </c>
      <c r="AE16" s="66" t="s">
        <v>164</v>
      </c>
      <c r="AF16" s="66" t="s">
        <v>185</v>
      </c>
      <c r="AG16" s="66" t="s">
        <v>303</v>
      </c>
      <c r="AH16" s="66">
        <v>1449</v>
      </c>
      <c r="AI16" s="66" t="s">
        <v>167</v>
      </c>
      <c r="AJ16" s="66" t="s">
        <v>168</v>
      </c>
      <c r="AK16" s="66">
        <v>0</v>
      </c>
      <c r="AL16" s="66">
        <v>3627613990</v>
      </c>
      <c r="AM16" s="66">
        <v>1</v>
      </c>
      <c r="AN16" s="66" t="s">
        <v>20</v>
      </c>
      <c r="AO16" s="66" t="s">
        <v>186</v>
      </c>
      <c r="AP16" s="66" t="s">
        <v>304</v>
      </c>
      <c r="AS16" s="66" t="s">
        <v>76</v>
      </c>
      <c r="AU16" s="66" t="s">
        <v>189</v>
      </c>
      <c r="AZ16" s="66">
        <v>110287387</v>
      </c>
      <c r="BC16" s="66" t="s">
        <v>285</v>
      </c>
      <c r="BD16" s="66" t="s">
        <v>305</v>
      </c>
      <c r="BF16" s="66" t="s">
        <v>20</v>
      </c>
      <c r="BG16" s="66">
        <v>0</v>
      </c>
      <c r="BH16" s="66">
        <v>0</v>
      </c>
    </row>
    <row r="17" spans="2:60" hidden="1" x14ac:dyDescent="0.2">
      <c r="B17" s="66" t="s">
        <v>276</v>
      </c>
      <c r="C17" s="66" t="s">
        <v>277</v>
      </c>
      <c r="D17" s="66" t="s">
        <v>306</v>
      </c>
      <c r="E17" s="66">
        <v>2025</v>
      </c>
      <c r="F17" s="66" t="s">
        <v>193</v>
      </c>
      <c r="G17" s="66" t="s">
        <v>156</v>
      </c>
      <c r="N17" s="66">
        <v>3</v>
      </c>
      <c r="O17" s="66" t="s">
        <v>157</v>
      </c>
      <c r="P17" s="66" t="s">
        <v>194</v>
      </c>
      <c r="Q17" s="66" t="s">
        <v>159</v>
      </c>
      <c r="R17" s="66" t="s">
        <v>307</v>
      </c>
      <c r="S17" s="66" t="s">
        <v>308</v>
      </c>
      <c r="T17" s="66" t="s">
        <v>309</v>
      </c>
      <c r="U17" s="66" t="s">
        <v>198</v>
      </c>
      <c r="W17" s="66">
        <v>34479542892</v>
      </c>
      <c r="X17" s="66">
        <v>2495954700</v>
      </c>
      <c r="Y17" s="66">
        <v>31983588192</v>
      </c>
      <c r="Z17" s="66">
        <v>32527849269</v>
      </c>
      <c r="AA17" s="66">
        <v>32527849269</v>
      </c>
      <c r="AB17" s="66" t="s">
        <v>162</v>
      </c>
      <c r="AC17" s="66">
        <v>18978</v>
      </c>
      <c r="AD17" s="66" t="s">
        <v>218</v>
      </c>
      <c r="AE17" s="66" t="s">
        <v>199</v>
      </c>
      <c r="AF17" s="66" t="s">
        <v>310</v>
      </c>
      <c r="AG17" s="66" t="s">
        <v>311</v>
      </c>
      <c r="AH17" s="66">
        <v>1449</v>
      </c>
      <c r="AI17" s="66" t="s">
        <v>167</v>
      </c>
      <c r="AJ17" s="66" t="s">
        <v>168</v>
      </c>
      <c r="AK17" s="66">
        <v>0</v>
      </c>
      <c r="AL17" s="66">
        <v>32527849269</v>
      </c>
      <c r="AM17" s="66">
        <v>2</v>
      </c>
      <c r="AN17" s="66" t="s">
        <v>20</v>
      </c>
      <c r="AO17" s="66" t="s">
        <v>186</v>
      </c>
      <c r="AP17" s="66" t="s">
        <v>312</v>
      </c>
      <c r="AS17" s="66" t="s">
        <v>76</v>
      </c>
      <c r="AU17" s="66" t="s">
        <v>189</v>
      </c>
      <c r="AZ17" s="66">
        <v>0</v>
      </c>
      <c r="BC17" s="66" t="s">
        <v>285</v>
      </c>
      <c r="BD17" s="66" t="s">
        <v>313</v>
      </c>
      <c r="BF17" s="66" t="s">
        <v>20</v>
      </c>
      <c r="BG17" s="66">
        <v>1</v>
      </c>
      <c r="BH17" s="66">
        <v>0</v>
      </c>
    </row>
    <row r="18" spans="2:60" hidden="1" x14ac:dyDescent="0.2">
      <c r="B18" s="66" t="s">
        <v>276</v>
      </c>
      <c r="C18" s="66" t="s">
        <v>277</v>
      </c>
      <c r="D18" s="66" t="s">
        <v>314</v>
      </c>
      <c r="E18" s="66">
        <v>2025</v>
      </c>
      <c r="F18" s="66" t="s">
        <v>193</v>
      </c>
      <c r="G18" s="66" t="s">
        <v>156</v>
      </c>
      <c r="N18" s="66">
        <v>4</v>
      </c>
      <c r="O18" s="66" t="s">
        <v>157</v>
      </c>
      <c r="P18" s="66" t="s">
        <v>194</v>
      </c>
      <c r="Q18" s="66" t="s">
        <v>289</v>
      </c>
      <c r="R18" s="66" t="s">
        <v>315</v>
      </c>
      <c r="S18" s="66" t="s">
        <v>316</v>
      </c>
      <c r="T18" s="66" t="s">
        <v>317</v>
      </c>
      <c r="U18" s="66" t="s">
        <v>198</v>
      </c>
      <c r="W18" s="66">
        <v>1102873861</v>
      </c>
      <c r="X18" s="66">
        <v>0</v>
      </c>
      <c r="Y18" s="66">
        <v>558612784</v>
      </c>
      <c r="Z18" s="66">
        <v>6373316503</v>
      </c>
      <c r="AA18" s="66">
        <v>6373316503</v>
      </c>
      <c r="AB18" s="66" t="s">
        <v>162</v>
      </c>
      <c r="AC18" s="66">
        <v>18472</v>
      </c>
      <c r="AD18" s="66" t="s">
        <v>218</v>
      </c>
      <c r="AE18" s="66" t="s">
        <v>199</v>
      </c>
      <c r="AF18" s="66" t="s">
        <v>310</v>
      </c>
      <c r="AG18" s="66" t="s">
        <v>283</v>
      </c>
      <c r="AH18" s="66">
        <v>1449</v>
      </c>
      <c r="AI18" s="66" t="s">
        <v>167</v>
      </c>
      <c r="AJ18" s="66" t="s">
        <v>168</v>
      </c>
      <c r="AK18" s="66">
        <v>0</v>
      </c>
      <c r="AL18" s="66">
        <v>6373316503</v>
      </c>
      <c r="AM18" s="66">
        <v>3</v>
      </c>
      <c r="AN18" s="66" t="s">
        <v>20</v>
      </c>
      <c r="AO18" s="66" t="s">
        <v>186</v>
      </c>
      <c r="AP18" s="66" t="s">
        <v>318</v>
      </c>
      <c r="AS18" s="66" t="s">
        <v>76</v>
      </c>
      <c r="AU18" s="66" t="s">
        <v>189</v>
      </c>
      <c r="AZ18" s="66">
        <v>1102873861</v>
      </c>
      <c r="BC18" s="66" t="s">
        <v>285</v>
      </c>
      <c r="BD18" s="66" t="s">
        <v>319</v>
      </c>
      <c r="BF18" s="66" t="s">
        <v>20</v>
      </c>
      <c r="BG18" s="66">
        <v>1</v>
      </c>
      <c r="BH18" s="66">
        <v>0</v>
      </c>
    </row>
    <row r="19" spans="2:60" ht="32" hidden="1" x14ac:dyDescent="0.2">
      <c r="B19" s="66" t="s">
        <v>320</v>
      </c>
      <c r="C19" s="66" t="s">
        <v>321</v>
      </c>
      <c r="D19" s="66" t="s">
        <v>322</v>
      </c>
      <c r="E19" s="66">
        <v>2025</v>
      </c>
      <c r="F19" s="66" t="s">
        <v>156</v>
      </c>
      <c r="G19" s="66" t="s">
        <v>177</v>
      </c>
      <c r="N19" s="66">
        <v>5</v>
      </c>
      <c r="O19" s="66" t="s">
        <v>157</v>
      </c>
      <c r="P19" s="66" t="s">
        <v>194</v>
      </c>
      <c r="Q19" s="66" t="s">
        <v>159</v>
      </c>
      <c r="R19" s="66" t="s">
        <v>323</v>
      </c>
      <c r="S19" s="66" t="s">
        <v>324</v>
      </c>
      <c r="T19" s="66" t="s">
        <v>325</v>
      </c>
      <c r="U19" s="66" t="s">
        <v>198</v>
      </c>
      <c r="W19" s="66">
        <v>3292583757</v>
      </c>
      <c r="X19" s="66">
        <v>1922049016</v>
      </c>
      <c r="Y19" s="66">
        <v>1370534741</v>
      </c>
      <c r="Z19" s="66">
        <v>2400326473</v>
      </c>
      <c r="AA19" s="66">
        <v>1370534741</v>
      </c>
      <c r="AB19" s="66" t="s">
        <v>184</v>
      </c>
      <c r="AC19" s="66">
        <v>19383</v>
      </c>
      <c r="AD19" s="66" t="s">
        <v>163</v>
      </c>
      <c r="AE19" s="66" t="s">
        <v>199</v>
      </c>
      <c r="AF19" s="66" t="s">
        <v>200</v>
      </c>
      <c r="AG19" s="66" t="s">
        <v>326</v>
      </c>
      <c r="AH19" s="66">
        <v>1449</v>
      </c>
      <c r="AI19" s="66" t="s">
        <v>167</v>
      </c>
      <c r="AJ19" s="66" t="s">
        <v>168</v>
      </c>
      <c r="AK19" s="66">
        <v>0</v>
      </c>
      <c r="AL19" s="66">
        <v>2400326473</v>
      </c>
      <c r="AN19" s="66" t="s">
        <v>20</v>
      </c>
      <c r="AO19" s="66" t="s">
        <v>186</v>
      </c>
      <c r="AP19" s="66" t="s">
        <v>327</v>
      </c>
      <c r="AR19" s="113" t="s">
        <v>188</v>
      </c>
      <c r="AS19" s="66" t="s">
        <v>79</v>
      </c>
      <c r="AU19" s="66" t="s">
        <v>189</v>
      </c>
      <c r="AZ19" s="66">
        <v>0</v>
      </c>
      <c r="BC19" s="66" t="s">
        <v>328</v>
      </c>
      <c r="BD19" s="66" t="s">
        <v>329</v>
      </c>
      <c r="BF19" s="66" t="s">
        <v>20</v>
      </c>
      <c r="BG19" s="66">
        <v>0</v>
      </c>
      <c r="BH19" s="66">
        <v>0</v>
      </c>
    </row>
    <row r="20" spans="2:60" hidden="1" x14ac:dyDescent="0.2">
      <c r="B20" s="66" t="s">
        <v>320</v>
      </c>
      <c r="C20" s="66" t="s">
        <v>321</v>
      </c>
      <c r="D20" s="66" t="s">
        <v>330</v>
      </c>
      <c r="E20" s="66">
        <v>2025</v>
      </c>
      <c r="F20" s="66" t="s">
        <v>193</v>
      </c>
      <c r="G20" s="66" t="s">
        <v>193</v>
      </c>
      <c r="N20" s="66">
        <v>5</v>
      </c>
      <c r="O20" s="66" t="s">
        <v>157</v>
      </c>
      <c r="P20" s="66" t="s">
        <v>216</v>
      </c>
      <c r="Q20" s="66" t="s">
        <v>159</v>
      </c>
      <c r="R20" s="66" t="s">
        <v>331</v>
      </c>
      <c r="S20" s="66" t="s">
        <v>324</v>
      </c>
      <c r="T20" s="66" t="s">
        <v>325</v>
      </c>
      <c r="U20" s="66" t="s">
        <v>198</v>
      </c>
      <c r="W20" s="66">
        <v>1922049016</v>
      </c>
      <c r="X20" s="66">
        <v>746002876</v>
      </c>
      <c r="Y20" s="66">
        <v>1176046140</v>
      </c>
      <c r="Z20" s="66">
        <v>1176046140</v>
      </c>
      <c r="AA20" s="66">
        <v>1176046140</v>
      </c>
      <c r="AB20" s="66" t="s">
        <v>162</v>
      </c>
      <c r="AC20" s="66">
        <v>18986</v>
      </c>
      <c r="AD20" s="66" t="s">
        <v>218</v>
      </c>
      <c r="AE20" s="66" t="s">
        <v>199</v>
      </c>
      <c r="AF20" s="66" t="s">
        <v>200</v>
      </c>
      <c r="AG20" s="66" t="s">
        <v>326</v>
      </c>
      <c r="AH20" s="66">
        <v>1449</v>
      </c>
      <c r="AI20" s="66" t="s">
        <v>167</v>
      </c>
      <c r="AJ20" s="66" t="s">
        <v>168</v>
      </c>
      <c r="AK20" s="66">
        <v>0</v>
      </c>
      <c r="AL20" s="66">
        <v>1176046140</v>
      </c>
      <c r="AM20" s="66">
        <v>1</v>
      </c>
      <c r="AN20" s="66" t="s">
        <v>20</v>
      </c>
      <c r="AO20" s="66" t="s">
        <v>186</v>
      </c>
      <c r="AP20" s="66" t="s">
        <v>332</v>
      </c>
      <c r="AS20" s="66" t="s">
        <v>79</v>
      </c>
      <c r="AU20" s="66" t="s">
        <v>189</v>
      </c>
      <c r="AZ20" s="66">
        <v>0</v>
      </c>
      <c r="BC20" s="66" t="s">
        <v>328</v>
      </c>
      <c r="BD20" s="66" t="s">
        <v>333</v>
      </c>
      <c r="BF20" s="66" t="s">
        <v>20</v>
      </c>
      <c r="BG20" s="66">
        <v>0</v>
      </c>
      <c r="BH20" s="66">
        <v>0</v>
      </c>
    </row>
    <row r="21" spans="2:60" hidden="1" x14ac:dyDescent="0.2">
      <c r="B21" s="66" t="s">
        <v>320</v>
      </c>
      <c r="C21" s="66" t="s">
        <v>321</v>
      </c>
      <c r="D21" s="66" t="s">
        <v>334</v>
      </c>
      <c r="E21" s="66">
        <v>2025</v>
      </c>
      <c r="F21" s="66" t="s">
        <v>156</v>
      </c>
      <c r="G21" s="66" t="s">
        <v>156</v>
      </c>
      <c r="N21" s="66">
        <v>5</v>
      </c>
      <c r="O21" s="66" t="s">
        <v>157</v>
      </c>
      <c r="P21" s="66" t="s">
        <v>194</v>
      </c>
      <c r="Q21" s="66" t="s">
        <v>159</v>
      </c>
      <c r="R21" s="66" t="s">
        <v>335</v>
      </c>
      <c r="S21" s="66" t="s">
        <v>324</v>
      </c>
      <c r="T21" s="66" t="s">
        <v>325</v>
      </c>
      <c r="U21" s="66" t="s">
        <v>198</v>
      </c>
      <c r="W21" s="66">
        <v>1922049016</v>
      </c>
      <c r="X21" s="66">
        <v>1176046140</v>
      </c>
      <c r="Y21" s="66">
        <v>746002876</v>
      </c>
      <c r="Z21" s="66">
        <v>2753325060</v>
      </c>
      <c r="AA21" s="66">
        <v>746002876</v>
      </c>
      <c r="AB21" s="66" t="s">
        <v>184</v>
      </c>
      <c r="AC21" s="66">
        <v>18970</v>
      </c>
      <c r="AD21" s="66" t="s">
        <v>163</v>
      </c>
      <c r="AE21" s="66" t="s">
        <v>199</v>
      </c>
      <c r="AF21" s="66" t="s">
        <v>200</v>
      </c>
      <c r="AG21" s="66" t="s">
        <v>326</v>
      </c>
      <c r="AH21" s="66">
        <v>1449</v>
      </c>
      <c r="AI21" s="66" t="s">
        <v>167</v>
      </c>
      <c r="AJ21" s="66" t="s">
        <v>168</v>
      </c>
      <c r="AK21" s="66">
        <v>0</v>
      </c>
      <c r="AL21" s="66">
        <v>2753325060</v>
      </c>
      <c r="AN21" s="66" t="s">
        <v>20</v>
      </c>
      <c r="AO21" s="66" t="s">
        <v>186</v>
      </c>
      <c r="AP21" s="66" t="s">
        <v>336</v>
      </c>
      <c r="AS21" s="66" t="s">
        <v>79</v>
      </c>
      <c r="AU21" s="66" t="s">
        <v>189</v>
      </c>
      <c r="AZ21" s="66">
        <v>0</v>
      </c>
      <c r="BC21" s="66" t="s">
        <v>328</v>
      </c>
      <c r="BD21" s="66" t="s">
        <v>337</v>
      </c>
      <c r="BF21" s="66" t="s">
        <v>20</v>
      </c>
      <c r="BG21" s="66">
        <v>0</v>
      </c>
      <c r="BH21" s="66">
        <v>0</v>
      </c>
    </row>
    <row r="22" spans="2:60" ht="38" customHeight="1" thickBot="1" x14ac:dyDescent="0.25"/>
    <row r="23" spans="2:60" ht="150" x14ac:dyDescent="0.2">
      <c r="C23" s="115" t="s">
        <v>137</v>
      </c>
      <c r="D23" s="116" t="s">
        <v>103</v>
      </c>
      <c r="E23" s="82" t="s">
        <v>122</v>
      </c>
      <c r="F23" s="82" t="s">
        <v>134</v>
      </c>
      <c r="G23" s="126" t="s">
        <v>345</v>
      </c>
      <c r="H23" s="123" t="s">
        <v>424</v>
      </c>
      <c r="I23" s="95" t="s">
        <v>1</v>
      </c>
      <c r="J23" s="83" t="s">
        <v>422</v>
      </c>
      <c r="K23" s="84" t="s">
        <v>355</v>
      </c>
      <c r="L23" s="84" t="s">
        <v>356</v>
      </c>
      <c r="M23" s="84" t="s">
        <v>8</v>
      </c>
      <c r="N23" s="83" t="s">
        <v>9</v>
      </c>
      <c r="O23" s="85" t="s">
        <v>6</v>
      </c>
      <c r="P23" s="85" t="s">
        <v>7</v>
      </c>
      <c r="Q23" s="85" t="s">
        <v>8</v>
      </c>
      <c r="R23" s="85" t="s">
        <v>10</v>
      </c>
      <c r="S23" s="85" t="s">
        <v>14</v>
      </c>
      <c r="T23" s="85" t="s">
        <v>11</v>
      </c>
      <c r="U23" s="85" t="s">
        <v>12</v>
      </c>
      <c r="V23" s="85" t="s">
        <v>13</v>
      </c>
      <c r="W23" s="85" t="s">
        <v>17</v>
      </c>
      <c r="X23" s="85" t="s">
        <v>15</v>
      </c>
      <c r="Y23" s="85" t="s">
        <v>16</v>
      </c>
      <c r="Z23" s="85" t="s">
        <v>18</v>
      </c>
      <c r="AA23" s="85" t="s">
        <v>19</v>
      </c>
      <c r="AB23" s="96" t="s">
        <v>429</v>
      </c>
      <c r="AC23" s="96" t="s">
        <v>430</v>
      </c>
      <c r="AD23" s="97" t="s">
        <v>127</v>
      </c>
      <c r="AE23" s="107" t="s">
        <v>17</v>
      </c>
    </row>
    <row r="24" spans="2:60" ht="66" customHeight="1" x14ac:dyDescent="0.2">
      <c r="B24" s="66">
        <v>1</v>
      </c>
      <c r="C24" s="86" t="s">
        <v>42</v>
      </c>
      <c r="D24" s="78" t="s">
        <v>338</v>
      </c>
      <c r="E24" s="78">
        <v>18889</v>
      </c>
      <c r="F24" s="78" t="s">
        <v>202</v>
      </c>
      <c r="G24" s="127">
        <v>5700377800</v>
      </c>
      <c r="H24" s="124" t="s">
        <v>0</v>
      </c>
      <c r="I24" s="80" t="s">
        <v>365</v>
      </c>
      <c r="J24" s="92" t="s">
        <v>347</v>
      </c>
      <c r="K24" s="81"/>
      <c r="L24" s="81" t="s">
        <v>357</v>
      </c>
      <c r="M24" s="79"/>
      <c r="N24" s="80" t="s">
        <v>341</v>
      </c>
      <c r="O24" s="74" t="s">
        <v>340</v>
      </c>
      <c r="P24" s="74" t="s">
        <v>340</v>
      </c>
      <c r="Q24" s="74" t="s">
        <v>340</v>
      </c>
      <c r="R24" s="74" t="s">
        <v>340</v>
      </c>
      <c r="S24" s="74" t="s">
        <v>340</v>
      </c>
      <c r="T24" s="74" t="s">
        <v>340</v>
      </c>
      <c r="U24" s="74" t="s">
        <v>340</v>
      </c>
      <c r="V24" s="74" t="s">
        <v>340</v>
      </c>
      <c r="W24" s="74" t="s">
        <v>340</v>
      </c>
      <c r="X24" s="74" t="s">
        <v>340</v>
      </c>
      <c r="Y24" s="74" t="s">
        <v>340</v>
      </c>
      <c r="Z24" s="74" t="s">
        <v>342</v>
      </c>
      <c r="AA24" s="74">
        <v>1</v>
      </c>
      <c r="AB24" s="74"/>
      <c r="AC24" s="74"/>
      <c r="AD24" s="73" t="s">
        <v>426</v>
      </c>
      <c r="AE24" s="108" t="s">
        <v>350</v>
      </c>
    </row>
    <row r="25" spans="2:60" ht="65" customHeight="1" x14ac:dyDescent="0.2">
      <c r="B25" s="66">
        <v>2</v>
      </c>
      <c r="C25" s="86" t="s">
        <v>42</v>
      </c>
      <c r="D25" s="78" t="s">
        <v>176</v>
      </c>
      <c r="E25" s="78">
        <v>18890</v>
      </c>
      <c r="F25" s="78" t="s">
        <v>187</v>
      </c>
      <c r="G25" s="127">
        <v>599955458</v>
      </c>
      <c r="H25" s="124" t="s">
        <v>0</v>
      </c>
      <c r="I25" s="80" t="s">
        <v>365</v>
      </c>
      <c r="J25" s="92" t="s">
        <v>348</v>
      </c>
      <c r="K25" s="81"/>
      <c r="L25" s="81" t="s">
        <v>358</v>
      </c>
      <c r="M25" s="79"/>
      <c r="N25" s="80" t="s">
        <v>349</v>
      </c>
      <c r="O25" s="72"/>
      <c r="P25" s="72"/>
      <c r="Q25" s="72"/>
      <c r="R25" s="72"/>
      <c r="S25" s="72"/>
      <c r="T25" s="72"/>
      <c r="U25" s="72"/>
      <c r="V25" s="72"/>
      <c r="W25" s="72"/>
      <c r="X25" s="72"/>
      <c r="Y25" s="72"/>
      <c r="Z25" s="72"/>
      <c r="AA25" s="72"/>
      <c r="AB25" s="74"/>
      <c r="AC25" s="74"/>
      <c r="AD25" s="73" t="s">
        <v>426</v>
      </c>
      <c r="AE25" s="108" t="s">
        <v>351</v>
      </c>
    </row>
    <row r="26" spans="2:60" ht="68" customHeight="1" x14ac:dyDescent="0.2">
      <c r="B26" s="66">
        <v>3</v>
      </c>
      <c r="C26" s="86" t="s">
        <v>49</v>
      </c>
      <c r="D26" s="78" t="s">
        <v>339</v>
      </c>
      <c r="E26" s="78">
        <v>18933</v>
      </c>
      <c r="F26" s="78" t="s">
        <v>219</v>
      </c>
      <c r="G26" s="127">
        <v>260000000</v>
      </c>
      <c r="H26" s="124" t="s">
        <v>0</v>
      </c>
      <c r="I26" s="80" t="s">
        <v>365</v>
      </c>
      <c r="J26" s="92" t="s">
        <v>352</v>
      </c>
      <c r="K26" s="80">
        <v>259935133</v>
      </c>
      <c r="L26" s="81" t="s">
        <v>359</v>
      </c>
      <c r="M26" s="80" t="s">
        <v>364</v>
      </c>
      <c r="N26" s="80" t="s">
        <v>362</v>
      </c>
      <c r="O26" s="72"/>
      <c r="P26" s="72"/>
      <c r="Q26" s="72"/>
      <c r="R26" s="72"/>
      <c r="S26" s="72"/>
      <c r="T26" s="72"/>
      <c r="U26" s="72"/>
      <c r="V26" s="72"/>
      <c r="W26" s="72"/>
      <c r="X26" s="72"/>
      <c r="Y26" s="72"/>
      <c r="Z26" s="72"/>
      <c r="AA26" s="72"/>
      <c r="AB26" s="74"/>
      <c r="AC26" s="74"/>
      <c r="AD26" s="73" t="s">
        <v>426</v>
      </c>
      <c r="AE26" s="108" t="s">
        <v>406</v>
      </c>
    </row>
    <row r="27" spans="2:60" ht="51" x14ac:dyDescent="0.2">
      <c r="B27" s="66">
        <v>4</v>
      </c>
      <c r="C27" s="86" t="s">
        <v>49</v>
      </c>
      <c r="D27" s="78" t="s">
        <v>206</v>
      </c>
      <c r="E27" s="78">
        <v>18946</v>
      </c>
      <c r="F27" s="78" t="s">
        <v>212</v>
      </c>
      <c r="G27" s="127">
        <v>500000000</v>
      </c>
      <c r="H27" s="124" t="s">
        <v>0</v>
      </c>
      <c r="I27" s="80" t="s">
        <v>365</v>
      </c>
      <c r="J27" s="92" t="s">
        <v>409</v>
      </c>
      <c r="K27" s="80">
        <v>500000000</v>
      </c>
      <c r="L27" s="81" t="s">
        <v>407</v>
      </c>
      <c r="M27" s="80" t="s">
        <v>433</v>
      </c>
      <c r="N27" s="80" t="s">
        <v>408</v>
      </c>
      <c r="O27" s="72"/>
      <c r="P27" s="72"/>
      <c r="Q27" s="72"/>
      <c r="R27" s="72"/>
      <c r="S27" s="72"/>
      <c r="T27" s="72"/>
      <c r="U27" s="72"/>
      <c r="V27" s="72"/>
      <c r="W27" s="72"/>
      <c r="X27" s="72"/>
      <c r="Y27" s="72"/>
      <c r="Z27" s="72"/>
      <c r="AA27" s="72"/>
      <c r="AB27" s="74"/>
      <c r="AC27" s="74"/>
      <c r="AD27" s="73" t="s">
        <v>431</v>
      </c>
      <c r="AE27" s="109" t="s">
        <v>432</v>
      </c>
    </row>
    <row r="28" spans="2:60" ht="85" x14ac:dyDescent="0.2">
      <c r="B28" s="66">
        <v>5</v>
      </c>
      <c r="C28" s="86" t="s">
        <v>49</v>
      </c>
      <c r="D28" s="78" t="s">
        <v>221</v>
      </c>
      <c r="E28" s="78">
        <v>18918</v>
      </c>
      <c r="F28" s="78" t="s">
        <v>230</v>
      </c>
      <c r="G28" s="127">
        <v>15661471447</v>
      </c>
      <c r="H28" s="124" t="s">
        <v>0</v>
      </c>
      <c r="I28" s="80" t="s">
        <v>365</v>
      </c>
      <c r="J28" s="92" t="s">
        <v>434</v>
      </c>
      <c r="K28" s="80">
        <v>15656970902</v>
      </c>
      <c r="L28" s="81" t="s">
        <v>357</v>
      </c>
      <c r="M28" s="80" t="s">
        <v>435</v>
      </c>
      <c r="N28" s="80" t="s">
        <v>436</v>
      </c>
      <c r="O28" s="72"/>
      <c r="P28" s="72"/>
      <c r="Q28" s="72"/>
      <c r="R28" s="72"/>
      <c r="S28" s="72"/>
      <c r="T28" s="72"/>
      <c r="U28" s="72"/>
      <c r="V28" s="72"/>
      <c r="W28" s="72"/>
      <c r="X28" s="72"/>
      <c r="Y28" s="72"/>
      <c r="Z28" s="72"/>
      <c r="AA28" s="72"/>
      <c r="AB28" s="74"/>
      <c r="AC28" s="74"/>
      <c r="AD28" s="73" t="s">
        <v>427</v>
      </c>
      <c r="AE28" s="108" t="s">
        <v>457</v>
      </c>
    </row>
    <row r="29" spans="2:60" ht="85" x14ac:dyDescent="0.2">
      <c r="B29" s="66">
        <v>6</v>
      </c>
      <c r="C29" s="86" t="s">
        <v>65</v>
      </c>
      <c r="D29" s="78" t="s">
        <v>248</v>
      </c>
      <c r="E29" s="78">
        <v>18996</v>
      </c>
      <c r="F29" s="78" t="s">
        <v>252</v>
      </c>
      <c r="G29" s="127">
        <v>5045473784</v>
      </c>
      <c r="H29" s="124" t="s">
        <v>0</v>
      </c>
      <c r="I29" s="80" t="s">
        <v>365</v>
      </c>
      <c r="J29" s="92" t="str">
        <f>UPPER(J28)</f>
        <v>IMPLEMENTAR SOLUCIONES TECNOLÓGICAS PARA MODERNIZAR LA INFRAESTRUCTURA DE LA ENTIDAD, OPTIMIZAR LA GESTIÓN DE BASES DE DATOS Y SISTEMAS DE INFORMACIÓN, GARANTIZAR LA SEGURIDAD INFORMÁTICA, FORTALECER LOS SISTEMAS DE RECUPERACIÓN ANTE DESASTRES Y RESPALDO DE INFORMACIÓN ON-PREMISE PARA LA ALCALDÍA DEL DISTRITO ESPECIAL DE SANTIAGO DE CALI.</v>
      </c>
      <c r="K29" s="80">
        <v>5045473784</v>
      </c>
      <c r="L29" s="81" t="s">
        <v>357</v>
      </c>
      <c r="M29" s="80" t="s">
        <v>459</v>
      </c>
      <c r="N29" s="80" t="s">
        <v>458</v>
      </c>
      <c r="O29" s="72"/>
      <c r="P29" s="72"/>
      <c r="Q29" s="72"/>
      <c r="R29" s="72"/>
      <c r="S29" s="72"/>
      <c r="T29" s="72"/>
      <c r="U29" s="72"/>
      <c r="V29" s="72"/>
      <c r="W29" s="72"/>
      <c r="X29" s="72"/>
      <c r="Y29" s="72"/>
      <c r="Z29" s="72"/>
      <c r="AA29" s="72"/>
      <c r="AB29" s="74"/>
      <c r="AC29" s="74"/>
      <c r="AD29" s="73" t="s">
        <v>427</v>
      </c>
      <c r="AE29" s="108" t="s">
        <v>460</v>
      </c>
    </row>
    <row r="30" spans="2:60" ht="51" x14ac:dyDescent="0.2">
      <c r="B30" s="66">
        <v>7</v>
      </c>
      <c r="C30" s="86" t="s">
        <v>65</v>
      </c>
      <c r="D30" s="78" t="s">
        <v>234</v>
      </c>
      <c r="E30" s="78">
        <v>19000</v>
      </c>
      <c r="F30" s="78" t="s">
        <v>238</v>
      </c>
      <c r="G30" s="127">
        <v>3868314995</v>
      </c>
      <c r="H30" s="124" t="s">
        <v>0</v>
      </c>
      <c r="I30" s="80" t="s">
        <v>365</v>
      </c>
      <c r="J30" s="92" t="s">
        <v>473</v>
      </c>
      <c r="K30" s="80">
        <v>11621192881</v>
      </c>
      <c r="L30" s="81" t="s">
        <v>357</v>
      </c>
      <c r="M30" s="80" t="s">
        <v>474</v>
      </c>
      <c r="N30" s="80" t="s">
        <v>472</v>
      </c>
      <c r="O30" s="72"/>
      <c r="P30" s="72"/>
      <c r="Q30" s="72"/>
      <c r="R30" s="72"/>
      <c r="S30" s="72"/>
      <c r="T30" s="72"/>
      <c r="U30" s="72"/>
      <c r="V30" s="72"/>
      <c r="W30" s="72"/>
      <c r="X30" s="72"/>
      <c r="Y30" s="72"/>
      <c r="Z30" s="72"/>
      <c r="AA30" s="72"/>
      <c r="AB30" s="74"/>
      <c r="AC30" s="74"/>
      <c r="AD30" s="73" t="s">
        <v>482</v>
      </c>
      <c r="AE30" s="108" t="s">
        <v>481</v>
      </c>
    </row>
    <row r="31" spans="2:60" ht="85" x14ac:dyDescent="0.2">
      <c r="B31" s="66">
        <v>8</v>
      </c>
      <c r="C31" s="86" t="s">
        <v>65</v>
      </c>
      <c r="D31" s="78" t="s">
        <v>241</v>
      </c>
      <c r="E31" s="78">
        <v>18998</v>
      </c>
      <c r="F31" s="78" t="s">
        <v>246</v>
      </c>
      <c r="G31" s="127">
        <v>403637903</v>
      </c>
      <c r="H31" s="124" t="s">
        <v>0</v>
      </c>
      <c r="I31" s="80" t="s">
        <v>365</v>
      </c>
      <c r="J31" s="92" t="s">
        <v>484</v>
      </c>
      <c r="K31" s="80">
        <v>403605567</v>
      </c>
      <c r="L31" s="81" t="s">
        <v>358</v>
      </c>
      <c r="M31" s="80" t="s">
        <v>485</v>
      </c>
      <c r="N31" s="80" t="s">
        <v>483</v>
      </c>
      <c r="O31" s="72"/>
      <c r="P31" s="72"/>
      <c r="Q31" s="72"/>
      <c r="R31" s="72"/>
      <c r="S31" s="72"/>
      <c r="T31" s="72"/>
      <c r="U31" s="72"/>
      <c r="V31" s="72"/>
      <c r="W31" s="72"/>
      <c r="X31" s="72"/>
      <c r="Y31" s="72"/>
      <c r="Z31" s="72"/>
      <c r="AA31" s="72"/>
      <c r="AB31" s="74"/>
      <c r="AC31" s="74"/>
      <c r="AD31" s="73" t="s">
        <v>426</v>
      </c>
      <c r="AE31" s="108" t="s">
        <v>508</v>
      </c>
    </row>
    <row r="32" spans="2:60" ht="64" x14ac:dyDescent="0.2">
      <c r="B32" s="66">
        <v>9</v>
      </c>
      <c r="C32" s="86" t="s">
        <v>76</v>
      </c>
      <c r="D32" s="78" t="s">
        <v>287</v>
      </c>
      <c r="E32" s="78">
        <v>19143</v>
      </c>
      <c r="F32" s="78" t="s">
        <v>295</v>
      </c>
      <c r="G32" s="127">
        <v>76024472789</v>
      </c>
      <c r="H32" s="124" t="s">
        <v>0</v>
      </c>
      <c r="I32" s="80" t="s">
        <v>365</v>
      </c>
      <c r="J32" s="92" t="s">
        <v>509</v>
      </c>
      <c r="K32" s="80">
        <v>71225128177</v>
      </c>
      <c r="L32" s="81" t="s">
        <v>288</v>
      </c>
      <c r="M32" s="80" t="s">
        <v>433</v>
      </c>
      <c r="N32" s="80" t="s">
        <v>510</v>
      </c>
      <c r="O32" s="72"/>
      <c r="P32" s="72"/>
      <c r="Q32" s="72"/>
      <c r="R32" s="72"/>
      <c r="S32" s="72"/>
      <c r="T32" s="72"/>
      <c r="U32" s="72"/>
      <c r="V32" s="72"/>
      <c r="W32" s="72"/>
      <c r="X32" s="72"/>
      <c r="Y32" s="72"/>
      <c r="Z32" s="72"/>
      <c r="AA32" s="72"/>
      <c r="AB32" s="74"/>
      <c r="AC32" s="74"/>
      <c r="AD32" s="73" t="s">
        <v>426</v>
      </c>
      <c r="AE32" s="108" t="s">
        <v>520</v>
      </c>
    </row>
    <row r="33" spans="2:31" ht="48" x14ac:dyDescent="0.2">
      <c r="B33" s="66">
        <v>10</v>
      </c>
      <c r="C33" s="86" t="s">
        <v>76</v>
      </c>
      <c r="D33" s="78" t="s">
        <v>314</v>
      </c>
      <c r="E33" s="78">
        <v>18472</v>
      </c>
      <c r="F33" s="78" t="s">
        <v>318</v>
      </c>
      <c r="G33" s="127">
        <v>6373316503</v>
      </c>
      <c r="H33" s="124" t="s">
        <v>0</v>
      </c>
      <c r="I33" s="80" t="s">
        <v>365</v>
      </c>
      <c r="J33" s="92" t="s">
        <v>521</v>
      </c>
      <c r="K33" s="80">
        <v>4405778333</v>
      </c>
      <c r="L33" s="81" t="s">
        <v>357</v>
      </c>
      <c r="M33" s="80" t="s">
        <v>485</v>
      </c>
      <c r="N33" s="80" t="s">
        <v>522</v>
      </c>
      <c r="O33" s="72"/>
      <c r="P33" s="72"/>
      <c r="Q33" s="72"/>
      <c r="R33" s="72"/>
      <c r="S33" s="72"/>
      <c r="T33" s="72"/>
      <c r="U33" s="72"/>
      <c r="V33" s="72"/>
      <c r="W33" s="72"/>
      <c r="X33" s="72"/>
      <c r="Y33" s="72"/>
      <c r="Z33" s="72"/>
      <c r="AA33" s="72"/>
      <c r="AB33" s="74"/>
      <c r="AC33" s="74"/>
      <c r="AD33" s="73" t="s">
        <v>426</v>
      </c>
      <c r="AE33" s="108" t="s">
        <v>529</v>
      </c>
    </row>
    <row r="34" spans="2:31" ht="80" x14ac:dyDescent="0.2">
      <c r="B34" s="66">
        <v>11</v>
      </c>
      <c r="C34" s="86" t="s">
        <v>76</v>
      </c>
      <c r="D34" s="78" t="s">
        <v>306</v>
      </c>
      <c r="E34" s="78">
        <v>18978</v>
      </c>
      <c r="F34" s="78" t="s">
        <v>312</v>
      </c>
      <c r="G34" s="127">
        <v>32527849269</v>
      </c>
      <c r="H34" s="124" t="s">
        <v>0</v>
      </c>
      <c r="I34" s="80" t="s">
        <v>365</v>
      </c>
      <c r="J34" s="92" t="s">
        <v>530</v>
      </c>
      <c r="K34" s="80">
        <v>32642128287</v>
      </c>
      <c r="L34" s="81" t="s">
        <v>357</v>
      </c>
      <c r="M34" s="80" t="s">
        <v>531</v>
      </c>
      <c r="N34" s="80" t="s">
        <v>532</v>
      </c>
      <c r="O34" s="72"/>
      <c r="P34" s="72"/>
      <c r="Q34" s="72"/>
      <c r="R34" s="72"/>
      <c r="S34" s="72"/>
      <c r="T34" s="72"/>
      <c r="U34" s="72"/>
      <c r="V34" s="72"/>
      <c r="W34" s="72"/>
      <c r="X34" s="72"/>
      <c r="Y34" s="72"/>
      <c r="Z34" s="72"/>
      <c r="AA34" s="72"/>
      <c r="AB34" s="74"/>
      <c r="AC34" s="74"/>
      <c r="AD34" s="73" t="s">
        <v>426</v>
      </c>
      <c r="AE34" s="108" t="s">
        <v>538</v>
      </c>
    </row>
    <row r="35" spans="2:31" ht="48" x14ac:dyDescent="0.2">
      <c r="B35" s="66">
        <v>12</v>
      </c>
      <c r="C35" s="86" t="s">
        <v>76</v>
      </c>
      <c r="D35" s="78" t="s">
        <v>278</v>
      </c>
      <c r="E35" s="78">
        <v>19194</v>
      </c>
      <c r="F35" s="78" t="s">
        <v>284</v>
      </c>
      <c r="G35" s="127">
        <v>810601805</v>
      </c>
      <c r="H35" s="124"/>
      <c r="I35" s="80"/>
      <c r="J35" s="92" t="s">
        <v>539</v>
      </c>
      <c r="K35" s="80">
        <v>810600664</v>
      </c>
      <c r="L35" s="81" t="s">
        <v>542</v>
      </c>
      <c r="M35" s="80" t="s">
        <v>485</v>
      </c>
      <c r="N35" s="80" t="s">
        <v>540</v>
      </c>
      <c r="O35" s="72"/>
      <c r="P35" s="72"/>
      <c r="Q35" s="72"/>
      <c r="R35" s="72"/>
      <c r="S35" s="72"/>
      <c r="T35" s="72"/>
      <c r="U35" s="72"/>
      <c r="V35" s="72"/>
      <c r="W35" s="72"/>
      <c r="X35" s="72"/>
      <c r="Y35" s="72"/>
      <c r="Z35" s="72"/>
      <c r="AA35" s="72"/>
      <c r="AB35" s="74"/>
      <c r="AC35" s="74"/>
      <c r="AD35" s="73" t="s">
        <v>426</v>
      </c>
      <c r="AE35" s="108" t="s">
        <v>549</v>
      </c>
    </row>
    <row r="36" spans="2:31" ht="64" x14ac:dyDescent="0.2">
      <c r="B36" s="66">
        <v>13</v>
      </c>
      <c r="C36" s="86" t="s">
        <v>76</v>
      </c>
      <c r="D36" s="78" t="s">
        <v>299</v>
      </c>
      <c r="E36" s="78">
        <v>18984</v>
      </c>
      <c r="F36" s="78" t="s">
        <v>304</v>
      </c>
      <c r="G36" s="127">
        <v>3627613990</v>
      </c>
      <c r="H36" s="124" t="s">
        <v>0</v>
      </c>
      <c r="I36" s="80" t="s">
        <v>365</v>
      </c>
      <c r="J36" s="92" t="s">
        <v>551</v>
      </c>
      <c r="K36" s="80">
        <v>1997367884</v>
      </c>
      <c r="L36" s="81" t="s">
        <v>543</v>
      </c>
      <c r="M36" s="80" t="s">
        <v>531</v>
      </c>
      <c r="N36" s="80" t="s">
        <v>550</v>
      </c>
      <c r="O36" s="72"/>
      <c r="P36" s="72"/>
      <c r="Q36" s="72"/>
      <c r="R36" s="72"/>
      <c r="S36" s="72"/>
      <c r="T36" s="72"/>
      <c r="U36" s="72"/>
      <c r="V36" s="72"/>
      <c r="W36" s="72"/>
      <c r="X36" s="72"/>
      <c r="Y36" s="72"/>
      <c r="Z36" s="72"/>
      <c r="AA36" s="72"/>
      <c r="AB36" s="74"/>
      <c r="AC36" s="74"/>
      <c r="AD36" s="73" t="s">
        <v>426</v>
      </c>
      <c r="AE36" s="108" t="s">
        <v>559</v>
      </c>
    </row>
    <row r="37" spans="2:31" ht="85" x14ac:dyDescent="0.2">
      <c r="B37" s="66">
        <v>14</v>
      </c>
      <c r="C37" s="86" t="s">
        <v>79</v>
      </c>
      <c r="D37" s="78" t="s">
        <v>330</v>
      </c>
      <c r="E37" s="78">
        <v>18986</v>
      </c>
      <c r="F37" s="78" t="s">
        <v>332</v>
      </c>
      <c r="G37" s="127">
        <v>1176046140</v>
      </c>
      <c r="H37" s="124" t="s">
        <v>0</v>
      </c>
      <c r="I37" s="80" t="s">
        <v>365</v>
      </c>
      <c r="J37" s="92" t="s">
        <v>552</v>
      </c>
      <c r="K37" s="80">
        <v>1176046140</v>
      </c>
      <c r="L37" s="81" t="s">
        <v>542</v>
      </c>
      <c r="M37" s="80" t="s">
        <v>474</v>
      </c>
      <c r="N37" s="72" t="s">
        <v>553</v>
      </c>
      <c r="O37" s="72"/>
      <c r="P37" s="72"/>
      <c r="Q37" s="72"/>
      <c r="R37" s="72"/>
      <c r="S37" s="72"/>
      <c r="T37" s="72"/>
      <c r="U37" s="72"/>
      <c r="V37" s="72"/>
      <c r="W37" s="72"/>
      <c r="X37" s="72"/>
      <c r="Y37" s="72"/>
      <c r="Z37" s="72"/>
      <c r="AA37" s="72"/>
      <c r="AB37" s="74"/>
      <c r="AC37" s="74"/>
      <c r="AD37" s="73" t="s">
        <v>426</v>
      </c>
      <c r="AE37" s="108" t="s">
        <v>560</v>
      </c>
    </row>
    <row r="38" spans="2:31" ht="80" x14ac:dyDescent="0.2">
      <c r="B38" s="66">
        <v>15</v>
      </c>
      <c r="C38" s="86" t="s">
        <v>79</v>
      </c>
      <c r="D38" s="78" t="s">
        <v>334</v>
      </c>
      <c r="E38" s="78">
        <v>18970</v>
      </c>
      <c r="F38" s="78" t="s">
        <v>336</v>
      </c>
      <c r="G38" s="127">
        <v>2753325060</v>
      </c>
      <c r="H38" s="124" t="s">
        <v>0</v>
      </c>
      <c r="I38" s="80" t="s">
        <v>365</v>
      </c>
      <c r="J38" s="92" t="s">
        <v>561</v>
      </c>
      <c r="K38" s="80">
        <v>2753325060</v>
      </c>
      <c r="L38" s="81" t="s">
        <v>545</v>
      </c>
      <c r="M38" s="80" t="s">
        <v>563</v>
      </c>
      <c r="N38" s="72" t="s">
        <v>562</v>
      </c>
      <c r="O38" s="72"/>
      <c r="P38" s="72"/>
      <c r="Q38" s="72"/>
      <c r="R38" s="72"/>
      <c r="S38" s="72"/>
      <c r="T38" s="72"/>
      <c r="U38" s="72"/>
      <c r="V38" s="72"/>
      <c r="W38" s="72"/>
      <c r="X38" s="72"/>
      <c r="Y38" s="72"/>
      <c r="Z38" s="72"/>
      <c r="AA38" s="72"/>
      <c r="AB38" s="74"/>
      <c r="AC38" s="74"/>
      <c r="AD38" s="73" t="s">
        <v>426</v>
      </c>
      <c r="AE38" s="108" t="s">
        <v>568</v>
      </c>
    </row>
    <row r="39" spans="2:31" ht="68" x14ac:dyDescent="0.2">
      <c r="B39" s="66">
        <v>16</v>
      </c>
      <c r="C39" s="86" t="s">
        <v>79</v>
      </c>
      <c r="D39" s="78" t="s">
        <v>322</v>
      </c>
      <c r="E39" s="78">
        <v>19383</v>
      </c>
      <c r="F39" s="78" t="s">
        <v>327</v>
      </c>
      <c r="G39" s="127">
        <v>2400326473</v>
      </c>
      <c r="H39" s="124" t="s">
        <v>0</v>
      </c>
      <c r="I39" s="80" t="s">
        <v>365</v>
      </c>
      <c r="J39" s="92" t="s">
        <v>569</v>
      </c>
      <c r="K39" s="80">
        <v>2400326473</v>
      </c>
      <c r="L39" s="81" t="s">
        <v>545</v>
      </c>
      <c r="M39" s="80" t="s">
        <v>435</v>
      </c>
      <c r="N39" s="106" t="s">
        <v>570</v>
      </c>
      <c r="O39" s="72"/>
      <c r="P39" s="72"/>
      <c r="Q39" s="72"/>
      <c r="R39" s="72"/>
      <c r="S39" s="72"/>
      <c r="T39" s="72"/>
      <c r="U39" s="72"/>
      <c r="V39" s="72"/>
      <c r="W39" s="72"/>
      <c r="X39" s="72"/>
      <c r="Y39" s="72"/>
      <c r="Z39" s="72"/>
      <c r="AA39" s="72"/>
      <c r="AB39" s="74"/>
      <c r="AC39" s="74"/>
      <c r="AD39" s="73" t="s">
        <v>426</v>
      </c>
      <c r="AE39" s="108" t="s">
        <v>571</v>
      </c>
    </row>
    <row r="40" spans="2:31" ht="69" thickBot="1" x14ac:dyDescent="0.25">
      <c r="B40" s="66">
        <v>17</v>
      </c>
      <c r="C40" s="117" t="s">
        <v>68</v>
      </c>
      <c r="D40" s="118" t="s">
        <v>256</v>
      </c>
      <c r="E40" s="118">
        <v>18910</v>
      </c>
      <c r="F40" s="118" t="s">
        <v>262</v>
      </c>
      <c r="G40" s="128">
        <v>9500000000</v>
      </c>
      <c r="H40" s="125" t="s">
        <v>0</v>
      </c>
      <c r="I40" s="87" t="s">
        <v>365</v>
      </c>
      <c r="J40" s="110" t="s">
        <v>572</v>
      </c>
      <c r="K40" s="87">
        <v>9499999990</v>
      </c>
      <c r="L40" s="111" t="s">
        <v>545</v>
      </c>
      <c r="M40" s="87" t="s">
        <v>459</v>
      </c>
      <c r="N40" s="88" t="s">
        <v>573</v>
      </c>
      <c r="O40" s="88"/>
      <c r="P40" s="88"/>
      <c r="Q40" s="88"/>
      <c r="R40" s="88"/>
      <c r="S40" s="88"/>
      <c r="T40" s="88"/>
      <c r="U40" s="88"/>
      <c r="V40" s="88"/>
      <c r="W40" s="88"/>
      <c r="X40" s="88"/>
      <c r="Y40" s="88"/>
      <c r="Z40" s="88"/>
      <c r="AA40" s="88"/>
      <c r="AB40" s="119"/>
      <c r="AC40" s="119"/>
      <c r="AD40" s="98" t="s">
        <v>426</v>
      </c>
      <c r="AE40" s="112" t="s">
        <v>574</v>
      </c>
    </row>
    <row r="41" spans="2:31" ht="16" x14ac:dyDescent="0.2">
      <c r="C41" s="120" t="s">
        <v>61</v>
      </c>
      <c r="D41" s="120"/>
      <c r="E41" s="120"/>
      <c r="F41" s="120"/>
      <c r="G41" s="121">
        <v>167232783416</v>
      </c>
      <c r="H41" s="122"/>
      <c r="I41" s="76"/>
      <c r="J41" s="122"/>
      <c r="K41" s="76"/>
      <c r="L41" s="122"/>
      <c r="M41" s="122"/>
    </row>
    <row r="42" spans="2:31" ht="16" x14ac:dyDescent="0.2">
      <c r="C42" s="71"/>
      <c r="D42" s="71"/>
      <c r="E42" s="71"/>
      <c r="F42" s="71"/>
      <c r="G42" s="71"/>
      <c r="H42" s="71"/>
      <c r="I42" s="77"/>
      <c r="J42" s="71"/>
      <c r="K42" s="77"/>
      <c r="L42" s="71"/>
      <c r="M42" s="71"/>
    </row>
    <row r="43" spans="2:31" ht="16" x14ac:dyDescent="0.2">
      <c r="C43" s="71"/>
      <c r="D43" s="71"/>
      <c r="E43" s="71"/>
      <c r="F43" s="71"/>
      <c r="G43" s="71"/>
      <c r="H43" s="71"/>
      <c r="I43" s="77"/>
      <c r="J43" s="71"/>
      <c r="K43" s="77"/>
      <c r="L43" s="71"/>
      <c r="M43" s="71"/>
    </row>
    <row r="44" spans="2:31" ht="16" x14ac:dyDescent="0.2">
      <c r="C44" s="71"/>
      <c r="D44" s="71"/>
      <c r="E44" s="71"/>
      <c r="F44" s="71"/>
      <c r="G44" s="71"/>
      <c r="H44" s="71"/>
      <c r="I44" s="77"/>
      <c r="J44" s="71"/>
      <c r="K44" s="77"/>
      <c r="L44" s="71"/>
      <c r="M44" s="71"/>
    </row>
    <row r="45" spans="2:31" ht="16" thickBot="1" x14ac:dyDescent="0.25"/>
    <row r="46" spans="2:31" ht="75" x14ac:dyDescent="0.2">
      <c r="B46" s="131"/>
      <c r="C46" s="132" t="s">
        <v>137</v>
      </c>
      <c r="D46" s="132" t="s">
        <v>103</v>
      </c>
      <c r="E46" s="132" t="s">
        <v>122</v>
      </c>
      <c r="F46" s="132" t="s">
        <v>134</v>
      </c>
      <c r="G46" s="132" t="s">
        <v>345</v>
      </c>
      <c r="H46" s="95" t="s">
        <v>424</v>
      </c>
      <c r="I46" s="95" t="s">
        <v>1</v>
      </c>
      <c r="J46" s="83" t="s">
        <v>422</v>
      </c>
      <c r="K46" s="84" t="s">
        <v>355</v>
      </c>
      <c r="L46" s="84" t="s">
        <v>356</v>
      </c>
      <c r="M46" s="84" t="s">
        <v>8</v>
      </c>
      <c r="N46" s="83" t="s">
        <v>9</v>
      </c>
      <c r="O46" s="85" t="s">
        <v>6</v>
      </c>
      <c r="P46" s="85" t="s">
        <v>7</v>
      </c>
      <c r="Q46" s="85" t="s">
        <v>8</v>
      </c>
      <c r="R46" s="85" t="s">
        <v>10</v>
      </c>
      <c r="S46" s="85" t="s">
        <v>14</v>
      </c>
      <c r="T46" s="85" t="s">
        <v>11</v>
      </c>
      <c r="U46" s="85" t="s">
        <v>12</v>
      </c>
      <c r="V46" s="85" t="s">
        <v>13</v>
      </c>
      <c r="W46" s="85" t="s">
        <v>17</v>
      </c>
      <c r="X46" s="85" t="s">
        <v>15</v>
      </c>
      <c r="Y46" s="85" t="s">
        <v>16</v>
      </c>
      <c r="Z46" s="85" t="s">
        <v>18</v>
      </c>
      <c r="AA46" s="85" t="s">
        <v>19</v>
      </c>
      <c r="AB46" s="96" t="s">
        <v>429</v>
      </c>
      <c r="AC46" s="96" t="s">
        <v>430</v>
      </c>
      <c r="AD46" s="96" t="s">
        <v>127</v>
      </c>
      <c r="AE46" s="107" t="s">
        <v>17</v>
      </c>
    </row>
    <row r="47" spans="2:31" ht="85" x14ac:dyDescent="0.2">
      <c r="B47" s="133">
        <v>1</v>
      </c>
      <c r="C47" s="74" t="s">
        <v>42</v>
      </c>
      <c r="D47" s="74" t="s">
        <v>338</v>
      </c>
      <c r="E47" s="74">
        <v>18889</v>
      </c>
      <c r="F47" s="74" t="s">
        <v>202</v>
      </c>
      <c r="G47" s="129">
        <v>5700377800</v>
      </c>
      <c r="H47" s="80" t="s">
        <v>0</v>
      </c>
      <c r="I47" s="80" t="s">
        <v>365</v>
      </c>
      <c r="J47" s="92" t="s">
        <v>347</v>
      </c>
      <c r="K47" s="130"/>
      <c r="L47" s="81" t="s">
        <v>357</v>
      </c>
      <c r="M47" s="79"/>
      <c r="N47" s="74" t="s">
        <v>341</v>
      </c>
      <c r="O47" s="74" t="s">
        <v>340</v>
      </c>
      <c r="P47" s="74" t="s">
        <v>340</v>
      </c>
      <c r="Q47" s="74" t="s">
        <v>340</v>
      </c>
      <c r="R47" s="74" t="s">
        <v>340</v>
      </c>
      <c r="S47" s="74" t="s">
        <v>340</v>
      </c>
      <c r="T47" s="74" t="s">
        <v>340</v>
      </c>
      <c r="U47" s="74" t="s">
        <v>340</v>
      </c>
      <c r="V47" s="74" t="s">
        <v>340</v>
      </c>
      <c r="W47" s="74" t="s">
        <v>340</v>
      </c>
      <c r="X47" s="74" t="s">
        <v>340</v>
      </c>
      <c r="Y47" s="74" t="s">
        <v>340</v>
      </c>
      <c r="Z47" s="74" t="s">
        <v>342</v>
      </c>
      <c r="AA47" s="74">
        <v>1</v>
      </c>
      <c r="AB47" s="74"/>
      <c r="AC47" s="74"/>
      <c r="AD47" s="72" t="s">
        <v>426</v>
      </c>
      <c r="AE47" s="108" t="s">
        <v>350</v>
      </c>
    </row>
    <row r="48" spans="2:31" ht="68" x14ac:dyDescent="0.2">
      <c r="B48" s="133">
        <v>2</v>
      </c>
      <c r="C48" s="74" t="s">
        <v>42</v>
      </c>
      <c r="D48" s="74" t="s">
        <v>176</v>
      </c>
      <c r="E48" s="74">
        <v>18890</v>
      </c>
      <c r="F48" s="74" t="s">
        <v>187</v>
      </c>
      <c r="G48" s="129">
        <v>599955458</v>
      </c>
      <c r="H48" s="80" t="s">
        <v>0</v>
      </c>
      <c r="I48" s="80" t="s">
        <v>365</v>
      </c>
      <c r="J48" s="92" t="s">
        <v>348</v>
      </c>
      <c r="K48" s="130"/>
      <c r="L48" s="81" t="s">
        <v>358</v>
      </c>
      <c r="M48" s="79"/>
      <c r="N48" s="74" t="s">
        <v>349</v>
      </c>
      <c r="O48" s="74"/>
      <c r="P48" s="74"/>
      <c r="Q48" s="74"/>
      <c r="R48" s="74"/>
      <c r="S48" s="74"/>
      <c r="T48" s="74"/>
      <c r="U48" s="74"/>
      <c r="V48" s="74"/>
      <c r="W48" s="74"/>
      <c r="X48" s="74"/>
      <c r="Y48" s="74"/>
      <c r="Z48" s="74"/>
      <c r="AA48" s="74"/>
      <c r="AB48" s="74"/>
      <c r="AC48" s="74"/>
      <c r="AD48" s="72" t="s">
        <v>426</v>
      </c>
      <c r="AE48" s="108" t="s">
        <v>351</v>
      </c>
    </row>
    <row r="49" spans="2:31" ht="80" x14ac:dyDescent="0.2">
      <c r="B49" s="133">
        <v>3</v>
      </c>
      <c r="C49" s="74" t="s">
        <v>49</v>
      </c>
      <c r="D49" s="74" t="s">
        <v>339</v>
      </c>
      <c r="E49" s="74">
        <v>18933</v>
      </c>
      <c r="F49" s="74" t="s">
        <v>219</v>
      </c>
      <c r="G49" s="129">
        <v>260000000</v>
      </c>
      <c r="H49" s="80" t="s">
        <v>0</v>
      </c>
      <c r="I49" s="80" t="s">
        <v>365</v>
      </c>
      <c r="J49" s="92" t="s">
        <v>352</v>
      </c>
      <c r="K49" s="130">
        <v>259935133</v>
      </c>
      <c r="L49" s="81" t="s">
        <v>359</v>
      </c>
      <c r="M49" s="80" t="s">
        <v>364</v>
      </c>
      <c r="N49" s="74" t="s">
        <v>362</v>
      </c>
      <c r="O49" s="74"/>
      <c r="P49" s="74"/>
      <c r="Q49" s="74"/>
      <c r="R49" s="74"/>
      <c r="S49" s="74"/>
      <c r="T49" s="74"/>
      <c r="U49" s="74"/>
      <c r="V49" s="74"/>
      <c r="W49" s="74"/>
      <c r="X49" s="74"/>
      <c r="Y49" s="74"/>
      <c r="Z49" s="74"/>
      <c r="AA49" s="74"/>
      <c r="AB49" s="74"/>
      <c r="AC49" s="74"/>
      <c r="AD49" s="72" t="s">
        <v>426</v>
      </c>
      <c r="AE49" s="108" t="s">
        <v>406</v>
      </c>
    </row>
    <row r="50" spans="2:31" ht="51" x14ac:dyDescent="0.2">
      <c r="B50" s="133">
        <v>4</v>
      </c>
      <c r="C50" s="74" t="s">
        <v>49</v>
      </c>
      <c r="D50" s="74" t="s">
        <v>206</v>
      </c>
      <c r="E50" s="74">
        <v>18946</v>
      </c>
      <c r="F50" s="74" t="s">
        <v>212</v>
      </c>
      <c r="G50" s="129">
        <v>500000000</v>
      </c>
      <c r="H50" s="80" t="s">
        <v>0</v>
      </c>
      <c r="I50" s="80" t="s">
        <v>365</v>
      </c>
      <c r="J50" s="92" t="s">
        <v>409</v>
      </c>
      <c r="K50" s="130">
        <v>500000000</v>
      </c>
      <c r="L50" s="81" t="s">
        <v>407</v>
      </c>
      <c r="M50" s="80" t="s">
        <v>433</v>
      </c>
      <c r="N50" s="74" t="s">
        <v>408</v>
      </c>
      <c r="O50" s="74"/>
      <c r="P50" s="74"/>
      <c r="Q50" s="74"/>
      <c r="R50" s="74"/>
      <c r="S50" s="74"/>
      <c r="T50" s="74"/>
      <c r="U50" s="74"/>
      <c r="V50" s="74"/>
      <c r="W50" s="74"/>
      <c r="X50" s="74"/>
      <c r="Y50" s="74"/>
      <c r="Z50" s="74"/>
      <c r="AA50" s="74"/>
      <c r="AB50" s="74"/>
      <c r="AC50" s="74"/>
      <c r="AD50" s="72" t="s">
        <v>431</v>
      </c>
      <c r="AE50" s="109" t="s">
        <v>432</v>
      </c>
    </row>
    <row r="51" spans="2:31" ht="85" x14ac:dyDescent="0.2">
      <c r="B51" s="133">
        <v>5</v>
      </c>
      <c r="C51" s="74" t="s">
        <v>49</v>
      </c>
      <c r="D51" s="74" t="s">
        <v>221</v>
      </c>
      <c r="E51" s="74">
        <v>18918</v>
      </c>
      <c r="F51" s="74" t="s">
        <v>230</v>
      </c>
      <c r="G51" s="129">
        <v>15661471447</v>
      </c>
      <c r="H51" s="80" t="s">
        <v>0</v>
      </c>
      <c r="I51" s="80" t="s">
        <v>365</v>
      </c>
      <c r="J51" s="92" t="s">
        <v>434</v>
      </c>
      <c r="K51" s="130">
        <v>15656970902</v>
      </c>
      <c r="L51" s="81" t="s">
        <v>357</v>
      </c>
      <c r="M51" s="80" t="s">
        <v>435</v>
      </c>
      <c r="N51" s="74" t="s">
        <v>436</v>
      </c>
      <c r="O51" s="74"/>
      <c r="P51" s="74"/>
      <c r="Q51" s="74"/>
      <c r="R51" s="74"/>
      <c r="S51" s="74"/>
      <c r="T51" s="74"/>
      <c r="U51" s="74"/>
      <c r="V51" s="74"/>
      <c r="W51" s="74"/>
      <c r="X51" s="74"/>
      <c r="Y51" s="74"/>
      <c r="Z51" s="74"/>
      <c r="AA51" s="74"/>
      <c r="AB51" s="74"/>
      <c r="AC51" s="74"/>
      <c r="AD51" s="72" t="s">
        <v>427</v>
      </c>
      <c r="AE51" s="108" t="s">
        <v>457</v>
      </c>
    </row>
    <row r="52" spans="2:31" ht="85" x14ac:dyDescent="0.2">
      <c r="B52" s="133">
        <v>6</v>
      </c>
      <c r="C52" s="74" t="s">
        <v>65</v>
      </c>
      <c r="D52" s="74" t="s">
        <v>248</v>
      </c>
      <c r="E52" s="74">
        <v>18996</v>
      </c>
      <c r="F52" s="74" t="s">
        <v>252</v>
      </c>
      <c r="G52" s="129">
        <v>5045473784</v>
      </c>
      <c r="H52" s="80" t="s">
        <v>0</v>
      </c>
      <c r="I52" s="80" t="s">
        <v>365</v>
      </c>
      <c r="J52" s="92" t="str">
        <f>UPPER(J51)</f>
        <v>IMPLEMENTAR SOLUCIONES TECNOLÓGICAS PARA MODERNIZAR LA INFRAESTRUCTURA DE LA ENTIDAD, OPTIMIZAR LA GESTIÓN DE BASES DE DATOS Y SISTEMAS DE INFORMACIÓN, GARANTIZAR LA SEGURIDAD INFORMÁTICA, FORTALECER LOS SISTEMAS DE RECUPERACIÓN ANTE DESASTRES Y RESPALDO DE INFORMACIÓN ON-PREMISE PARA LA ALCALDÍA DEL DISTRITO ESPECIAL DE SANTIAGO DE CALI.</v>
      </c>
      <c r="K52" s="130">
        <v>5045473784</v>
      </c>
      <c r="L52" s="81" t="s">
        <v>357</v>
      </c>
      <c r="M52" s="80" t="s">
        <v>459</v>
      </c>
      <c r="N52" s="74" t="s">
        <v>458</v>
      </c>
      <c r="O52" s="74"/>
      <c r="P52" s="74"/>
      <c r="Q52" s="74"/>
      <c r="R52" s="74"/>
      <c r="S52" s="74"/>
      <c r="T52" s="74"/>
      <c r="U52" s="74"/>
      <c r="V52" s="74"/>
      <c r="W52" s="74"/>
      <c r="X52" s="74"/>
      <c r="Y52" s="74"/>
      <c r="Z52" s="74"/>
      <c r="AA52" s="74"/>
      <c r="AB52" s="74"/>
      <c r="AC52" s="74"/>
      <c r="AD52" s="72" t="s">
        <v>427</v>
      </c>
      <c r="AE52" s="108" t="s">
        <v>460</v>
      </c>
    </row>
    <row r="53" spans="2:31" ht="51" x14ac:dyDescent="0.2">
      <c r="B53" s="133">
        <v>7</v>
      </c>
      <c r="C53" s="74" t="s">
        <v>65</v>
      </c>
      <c r="D53" s="74" t="s">
        <v>234</v>
      </c>
      <c r="E53" s="74">
        <v>19000</v>
      </c>
      <c r="F53" s="74" t="s">
        <v>238</v>
      </c>
      <c r="G53" s="129">
        <v>3868314995</v>
      </c>
      <c r="H53" s="80" t="s">
        <v>0</v>
      </c>
      <c r="I53" s="80" t="s">
        <v>365</v>
      </c>
      <c r="J53" s="92" t="s">
        <v>473</v>
      </c>
      <c r="K53" s="130">
        <v>11621192881</v>
      </c>
      <c r="L53" s="81" t="s">
        <v>357</v>
      </c>
      <c r="M53" s="80" t="s">
        <v>474</v>
      </c>
      <c r="N53" s="74" t="s">
        <v>472</v>
      </c>
      <c r="O53" s="74"/>
      <c r="P53" s="74"/>
      <c r="Q53" s="74"/>
      <c r="R53" s="74"/>
      <c r="S53" s="74"/>
      <c r="T53" s="74"/>
      <c r="U53" s="74"/>
      <c r="V53" s="74"/>
      <c r="W53" s="74"/>
      <c r="X53" s="74"/>
      <c r="Y53" s="74"/>
      <c r="Z53" s="74"/>
      <c r="AA53" s="74"/>
      <c r="AB53" s="74"/>
      <c r="AC53" s="74"/>
      <c r="AD53" s="72" t="s">
        <v>482</v>
      </c>
      <c r="AE53" s="108" t="s">
        <v>481</v>
      </c>
    </row>
    <row r="54" spans="2:31" ht="85" x14ac:dyDescent="0.2">
      <c r="B54" s="133">
        <v>8</v>
      </c>
      <c r="C54" s="74" t="s">
        <v>65</v>
      </c>
      <c r="D54" s="74" t="s">
        <v>241</v>
      </c>
      <c r="E54" s="74">
        <v>18998</v>
      </c>
      <c r="F54" s="74" t="s">
        <v>246</v>
      </c>
      <c r="G54" s="129">
        <v>403637903</v>
      </c>
      <c r="H54" s="80" t="s">
        <v>0</v>
      </c>
      <c r="I54" s="80" t="s">
        <v>365</v>
      </c>
      <c r="J54" s="92" t="s">
        <v>484</v>
      </c>
      <c r="K54" s="130">
        <v>403605567</v>
      </c>
      <c r="L54" s="81" t="s">
        <v>358</v>
      </c>
      <c r="M54" s="80" t="s">
        <v>485</v>
      </c>
      <c r="N54" s="74" t="s">
        <v>483</v>
      </c>
      <c r="O54" s="74"/>
      <c r="P54" s="74"/>
      <c r="Q54" s="74"/>
      <c r="R54" s="74"/>
      <c r="S54" s="74"/>
      <c r="T54" s="74"/>
      <c r="U54" s="74"/>
      <c r="V54" s="74"/>
      <c r="W54" s="74"/>
      <c r="X54" s="74"/>
      <c r="Y54" s="74"/>
      <c r="Z54" s="74"/>
      <c r="AA54" s="74"/>
      <c r="AB54" s="74"/>
      <c r="AC54" s="74"/>
      <c r="AD54" s="72" t="s">
        <v>426</v>
      </c>
      <c r="AE54" s="108" t="s">
        <v>508</v>
      </c>
    </row>
    <row r="55" spans="2:31" ht="64" x14ac:dyDescent="0.2">
      <c r="B55" s="133">
        <v>9</v>
      </c>
      <c r="C55" s="74" t="s">
        <v>76</v>
      </c>
      <c r="D55" s="74" t="s">
        <v>287</v>
      </c>
      <c r="E55" s="74">
        <v>19143</v>
      </c>
      <c r="F55" s="74" t="s">
        <v>295</v>
      </c>
      <c r="G55" s="129">
        <v>76024472789</v>
      </c>
      <c r="H55" s="80" t="s">
        <v>0</v>
      </c>
      <c r="I55" s="80" t="s">
        <v>365</v>
      </c>
      <c r="J55" s="92" t="s">
        <v>509</v>
      </c>
      <c r="K55" s="130">
        <v>71225128177</v>
      </c>
      <c r="L55" s="81" t="s">
        <v>288</v>
      </c>
      <c r="M55" s="80" t="s">
        <v>433</v>
      </c>
      <c r="N55" s="74" t="s">
        <v>510</v>
      </c>
      <c r="O55" s="74"/>
      <c r="P55" s="74"/>
      <c r="Q55" s="74"/>
      <c r="R55" s="74"/>
      <c r="S55" s="74"/>
      <c r="T55" s="74"/>
      <c r="U55" s="74"/>
      <c r="V55" s="74"/>
      <c r="W55" s="74"/>
      <c r="X55" s="74"/>
      <c r="Y55" s="74"/>
      <c r="Z55" s="74"/>
      <c r="AA55" s="74"/>
      <c r="AB55" s="74"/>
      <c r="AC55" s="74"/>
      <c r="AD55" s="72" t="s">
        <v>426</v>
      </c>
      <c r="AE55" s="108" t="s">
        <v>520</v>
      </c>
    </row>
    <row r="56" spans="2:31" ht="48" x14ac:dyDescent="0.2">
      <c r="B56" s="133">
        <v>10</v>
      </c>
      <c r="C56" s="74" t="s">
        <v>76</v>
      </c>
      <c r="D56" s="74" t="s">
        <v>314</v>
      </c>
      <c r="E56" s="74">
        <v>18472</v>
      </c>
      <c r="F56" s="74" t="s">
        <v>318</v>
      </c>
      <c r="G56" s="129">
        <v>6373316503</v>
      </c>
      <c r="H56" s="80" t="s">
        <v>0</v>
      </c>
      <c r="I56" s="80" t="s">
        <v>365</v>
      </c>
      <c r="J56" s="92" t="s">
        <v>521</v>
      </c>
      <c r="K56" s="130">
        <v>4405778333</v>
      </c>
      <c r="L56" s="81" t="s">
        <v>357</v>
      </c>
      <c r="M56" s="80" t="s">
        <v>485</v>
      </c>
      <c r="N56" s="74" t="s">
        <v>522</v>
      </c>
      <c r="O56" s="74"/>
      <c r="P56" s="74"/>
      <c r="Q56" s="74"/>
      <c r="R56" s="74"/>
      <c r="S56" s="74"/>
      <c r="T56" s="74"/>
      <c r="U56" s="74"/>
      <c r="V56" s="74"/>
      <c r="W56" s="74"/>
      <c r="X56" s="74"/>
      <c r="Y56" s="74"/>
      <c r="Z56" s="74"/>
      <c r="AA56" s="74"/>
      <c r="AB56" s="74"/>
      <c r="AC56" s="74"/>
      <c r="AD56" s="72" t="s">
        <v>426</v>
      </c>
      <c r="AE56" s="108" t="s">
        <v>529</v>
      </c>
    </row>
    <row r="57" spans="2:31" ht="80" x14ac:dyDescent="0.2">
      <c r="B57" s="133">
        <v>11</v>
      </c>
      <c r="C57" s="74" t="s">
        <v>76</v>
      </c>
      <c r="D57" s="74" t="s">
        <v>306</v>
      </c>
      <c r="E57" s="74">
        <v>18978</v>
      </c>
      <c r="F57" s="74" t="s">
        <v>312</v>
      </c>
      <c r="G57" s="129">
        <v>32527849269</v>
      </c>
      <c r="H57" s="80" t="s">
        <v>0</v>
      </c>
      <c r="I57" s="80" t="s">
        <v>365</v>
      </c>
      <c r="J57" s="92" t="s">
        <v>530</v>
      </c>
      <c r="K57" s="130">
        <v>32642128287</v>
      </c>
      <c r="L57" s="81" t="s">
        <v>357</v>
      </c>
      <c r="M57" s="80" t="s">
        <v>531</v>
      </c>
      <c r="N57" s="74" t="s">
        <v>532</v>
      </c>
      <c r="O57" s="74"/>
      <c r="P57" s="74"/>
      <c r="Q57" s="74"/>
      <c r="R57" s="74"/>
      <c r="S57" s="74"/>
      <c r="T57" s="74"/>
      <c r="U57" s="74"/>
      <c r="V57" s="74"/>
      <c r="W57" s="74"/>
      <c r="X57" s="74"/>
      <c r="Y57" s="74"/>
      <c r="Z57" s="74"/>
      <c r="AA57" s="74"/>
      <c r="AB57" s="74"/>
      <c r="AC57" s="74"/>
      <c r="AD57" s="72" t="s">
        <v>426</v>
      </c>
      <c r="AE57" s="108" t="s">
        <v>538</v>
      </c>
    </row>
    <row r="58" spans="2:31" ht="48" x14ac:dyDescent="0.2">
      <c r="B58" s="133">
        <v>12</v>
      </c>
      <c r="C58" s="74" t="s">
        <v>76</v>
      </c>
      <c r="D58" s="74" t="s">
        <v>278</v>
      </c>
      <c r="E58" s="74">
        <v>19194</v>
      </c>
      <c r="F58" s="74" t="s">
        <v>284</v>
      </c>
      <c r="G58" s="129">
        <v>810601805</v>
      </c>
      <c r="H58" s="80"/>
      <c r="I58" s="80"/>
      <c r="J58" s="92" t="s">
        <v>539</v>
      </c>
      <c r="K58" s="130">
        <v>810600664</v>
      </c>
      <c r="L58" s="81" t="s">
        <v>542</v>
      </c>
      <c r="M58" s="80" t="s">
        <v>485</v>
      </c>
      <c r="N58" s="74" t="s">
        <v>540</v>
      </c>
      <c r="O58" s="74"/>
      <c r="P58" s="74"/>
      <c r="Q58" s="74"/>
      <c r="R58" s="74"/>
      <c r="S58" s="74"/>
      <c r="T58" s="74"/>
      <c r="U58" s="74"/>
      <c r="V58" s="74"/>
      <c r="W58" s="74"/>
      <c r="X58" s="74"/>
      <c r="Y58" s="74"/>
      <c r="Z58" s="74"/>
      <c r="AA58" s="74"/>
      <c r="AB58" s="74"/>
      <c r="AC58" s="74"/>
      <c r="AD58" s="72" t="s">
        <v>426</v>
      </c>
      <c r="AE58" s="108" t="s">
        <v>549</v>
      </c>
    </row>
    <row r="59" spans="2:31" ht="64" x14ac:dyDescent="0.2">
      <c r="B59" s="133">
        <v>13</v>
      </c>
      <c r="C59" s="74" t="s">
        <v>76</v>
      </c>
      <c r="D59" s="74" t="s">
        <v>299</v>
      </c>
      <c r="E59" s="74">
        <v>18984</v>
      </c>
      <c r="F59" s="74" t="s">
        <v>304</v>
      </c>
      <c r="G59" s="129">
        <v>3627613990</v>
      </c>
      <c r="H59" s="80" t="s">
        <v>0</v>
      </c>
      <c r="I59" s="80" t="s">
        <v>365</v>
      </c>
      <c r="J59" s="92" t="s">
        <v>551</v>
      </c>
      <c r="K59" s="130">
        <v>1997367884</v>
      </c>
      <c r="L59" s="81" t="s">
        <v>543</v>
      </c>
      <c r="M59" s="80" t="s">
        <v>531</v>
      </c>
      <c r="N59" s="74" t="s">
        <v>550</v>
      </c>
      <c r="O59" s="74"/>
      <c r="P59" s="74"/>
      <c r="Q59" s="74"/>
      <c r="R59" s="74"/>
      <c r="S59" s="74"/>
      <c r="T59" s="74"/>
      <c r="U59" s="74"/>
      <c r="V59" s="74"/>
      <c r="W59" s="74"/>
      <c r="X59" s="74"/>
      <c r="Y59" s="74"/>
      <c r="Z59" s="74"/>
      <c r="AA59" s="74"/>
      <c r="AB59" s="74"/>
      <c r="AC59" s="74"/>
      <c r="AD59" s="72" t="s">
        <v>426</v>
      </c>
      <c r="AE59" s="108" t="s">
        <v>559</v>
      </c>
    </row>
    <row r="60" spans="2:31" ht="85" x14ac:dyDescent="0.2">
      <c r="B60" s="133">
        <v>14</v>
      </c>
      <c r="C60" s="74" t="s">
        <v>79</v>
      </c>
      <c r="D60" s="74" t="s">
        <v>330</v>
      </c>
      <c r="E60" s="74">
        <v>18986</v>
      </c>
      <c r="F60" s="74" t="s">
        <v>332</v>
      </c>
      <c r="G60" s="129">
        <v>1176046140</v>
      </c>
      <c r="H60" s="80" t="s">
        <v>0</v>
      </c>
      <c r="I60" s="80" t="s">
        <v>365</v>
      </c>
      <c r="J60" s="92" t="s">
        <v>552</v>
      </c>
      <c r="K60" s="130">
        <v>1176046140</v>
      </c>
      <c r="L60" s="81" t="s">
        <v>542</v>
      </c>
      <c r="M60" s="80" t="s">
        <v>474</v>
      </c>
      <c r="N60" s="74" t="s">
        <v>553</v>
      </c>
      <c r="O60" s="74"/>
      <c r="P60" s="74"/>
      <c r="Q60" s="74"/>
      <c r="R60" s="74"/>
      <c r="S60" s="74"/>
      <c r="T60" s="74"/>
      <c r="U60" s="74"/>
      <c r="V60" s="74"/>
      <c r="W60" s="74"/>
      <c r="X60" s="74"/>
      <c r="Y60" s="74"/>
      <c r="Z60" s="74"/>
      <c r="AA60" s="74"/>
      <c r="AB60" s="74"/>
      <c r="AC60" s="74"/>
      <c r="AD60" s="72" t="s">
        <v>426</v>
      </c>
      <c r="AE60" s="108" t="s">
        <v>560</v>
      </c>
    </row>
    <row r="61" spans="2:31" ht="80" x14ac:dyDescent="0.2">
      <c r="B61" s="133">
        <v>15</v>
      </c>
      <c r="C61" s="74" t="s">
        <v>79</v>
      </c>
      <c r="D61" s="74" t="s">
        <v>334</v>
      </c>
      <c r="E61" s="74">
        <v>18970</v>
      </c>
      <c r="F61" s="74" t="s">
        <v>336</v>
      </c>
      <c r="G61" s="129">
        <v>2753325060</v>
      </c>
      <c r="H61" s="80" t="s">
        <v>0</v>
      </c>
      <c r="I61" s="80" t="s">
        <v>365</v>
      </c>
      <c r="J61" s="92" t="s">
        <v>561</v>
      </c>
      <c r="K61" s="130">
        <v>2753325060</v>
      </c>
      <c r="L61" s="81" t="s">
        <v>545</v>
      </c>
      <c r="M61" s="80" t="s">
        <v>563</v>
      </c>
      <c r="N61" s="74" t="s">
        <v>562</v>
      </c>
      <c r="O61" s="74"/>
      <c r="P61" s="74"/>
      <c r="Q61" s="74"/>
      <c r="R61" s="74"/>
      <c r="S61" s="74"/>
      <c r="T61" s="74"/>
      <c r="U61" s="74"/>
      <c r="V61" s="74"/>
      <c r="W61" s="74"/>
      <c r="X61" s="74"/>
      <c r="Y61" s="74"/>
      <c r="Z61" s="74"/>
      <c r="AA61" s="74"/>
      <c r="AB61" s="74"/>
      <c r="AC61" s="74"/>
      <c r="AD61" s="72" t="s">
        <v>426</v>
      </c>
      <c r="AE61" s="108" t="s">
        <v>568</v>
      </c>
    </row>
    <row r="62" spans="2:31" ht="68" x14ac:dyDescent="0.2">
      <c r="B62" s="133">
        <v>16</v>
      </c>
      <c r="C62" s="74" t="s">
        <v>79</v>
      </c>
      <c r="D62" s="74" t="s">
        <v>322</v>
      </c>
      <c r="E62" s="74">
        <v>19383</v>
      </c>
      <c r="F62" s="74" t="s">
        <v>327</v>
      </c>
      <c r="G62" s="129">
        <v>2400326473</v>
      </c>
      <c r="H62" s="80" t="s">
        <v>0</v>
      </c>
      <c r="I62" s="80" t="s">
        <v>365</v>
      </c>
      <c r="J62" s="92" t="s">
        <v>569</v>
      </c>
      <c r="K62" s="130">
        <v>2400326473</v>
      </c>
      <c r="L62" s="81" t="s">
        <v>545</v>
      </c>
      <c r="M62" s="80" t="s">
        <v>435</v>
      </c>
      <c r="N62" s="74" t="s">
        <v>570</v>
      </c>
      <c r="O62" s="74"/>
      <c r="P62" s="74"/>
      <c r="Q62" s="74"/>
      <c r="R62" s="74"/>
      <c r="S62" s="74"/>
      <c r="T62" s="74"/>
      <c r="U62" s="74"/>
      <c r="V62" s="74"/>
      <c r="W62" s="74"/>
      <c r="X62" s="74"/>
      <c r="Y62" s="74"/>
      <c r="Z62" s="74"/>
      <c r="AA62" s="74"/>
      <c r="AB62" s="74"/>
      <c r="AC62" s="74"/>
      <c r="AD62" s="72" t="s">
        <v>426</v>
      </c>
      <c r="AE62" s="108" t="s">
        <v>571</v>
      </c>
    </row>
    <row r="63" spans="2:31" ht="69" thickBot="1" x14ac:dyDescent="0.25">
      <c r="B63" s="134">
        <v>17</v>
      </c>
      <c r="C63" s="119" t="s">
        <v>68</v>
      </c>
      <c r="D63" s="119" t="s">
        <v>256</v>
      </c>
      <c r="E63" s="119">
        <v>18910</v>
      </c>
      <c r="F63" s="119" t="s">
        <v>262</v>
      </c>
      <c r="G63" s="135">
        <v>9500000000</v>
      </c>
      <c r="H63" s="87" t="s">
        <v>0</v>
      </c>
      <c r="I63" s="87" t="s">
        <v>365</v>
      </c>
      <c r="J63" s="110" t="s">
        <v>572</v>
      </c>
      <c r="K63" s="136">
        <v>9499999990</v>
      </c>
      <c r="L63" s="111" t="s">
        <v>545</v>
      </c>
      <c r="M63" s="87" t="s">
        <v>459</v>
      </c>
      <c r="N63" s="119" t="s">
        <v>573</v>
      </c>
      <c r="O63" s="119"/>
      <c r="P63" s="119"/>
      <c r="Q63" s="119"/>
      <c r="R63" s="119"/>
      <c r="S63" s="119"/>
      <c r="T63" s="119"/>
      <c r="U63" s="119"/>
      <c r="V63" s="119"/>
      <c r="W63" s="119"/>
      <c r="X63" s="119"/>
      <c r="Y63" s="119"/>
      <c r="Z63" s="119"/>
      <c r="AA63" s="119"/>
      <c r="AB63" s="119"/>
      <c r="AC63" s="119"/>
      <c r="AD63" s="88" t="s">
        <v>426</v>
      </c>
      <c r="AE63" s="112" t="s">
        <v>574</v>
      </c>
    </row>
  </sheetData>
  <phoneticPr fontId="19" type="noConversion"/>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27A67844-B71A-1941-8112-785F3891A2D0}">
          <x14:formula1>
            <xm:f>Hoja1!$B$22:$B$24</xm:f>
          </x14:formula1>
          <xm:sqref>L24:L26 L47:L49</xm:sqref>
        </x14:dataValidation>
        <x14:dataValidation type="list" allowBlank="1" showInputMessage="1" showErrorMessage="1" xr:uid="{3097CA3E-9D8A-4A4B-BD95-5E5B98BD60CD}">
          <x14:formula1>
            <xm:f>Hoja1!$B$22:$B$25</xm:f>
          </x14:formula1>
          <xm:sqref>L27:L31 L33:L34 L36 L38:L40 L50:L54 L56:L57 L59 L61:L63</xm:sqref>
        </x14:dataValidation>
        <x14:dataValidation type="list" allowBlank="1" showInputMessage="1" showErrorMessage="1" xr:uid="{D7B78783-79DB-4646-86CE-20AE5FE4F0BD}">
          <x14:formula1>
            <xm:f>Hoja1!$C$22:$C$24</xm:f>
          </x14:formula1>
          <xm:sqref>H24:H40 H47:H63</xm:sqref>
        </x14:dataValidation>
        <x14:dataValidation type="list" allowBlank="1" showInputMessage="1" showErrorMessage="1" xr:uid="{A6D06446-F558-4A47-9956-D9FFA3B5316D}">
          <x14:formula1>
            <xm:f>Hoja1!$C$29:$C$33</xm:f>
          </x14:formula1>
          <xm:sqref>AD24:AD40 AD47:AD63</xm:sqref>
        </x14:dataValidation>
        <x14:dataValidation type="list" allowBlank="1" showInputMessage="1" showErrorMessage="1" xr:uid="{846BE94D-041D-0142-A6AB-997EFA592414}">
          <x14:formula1>
            <xm:f>Hoja1!$B$32:$B$33</xm:f>
          </x14:formula1>
          <xm:sqref>I24:I40 I47:I63</xm:sqref>
        </x14:dataValidation>
        <x14:dataValidation type="list" allowBlank="1" showInputMessage="1" showErrorMessage="1" xr:uid="{40035899-6BB5-9645-9408-EC0A00994FDB}">
          <x14:formula1>
            <xm:f>Hoja1!$B$22:$B$26</xm:f>
          </x14:formula1>
          <xm:sqref>L32 L55</xm:sqref>
        </x14:dataValidation>
        <x14:dataValidation type="list" allowBlank="1" showInputMessage="1" showErrorMessage="1" xr:uid="{DAD75C49-A096-5D40-A6EA-4FFB02C952CF}">
          <x14:formula1>
            <xm:f>Hoja1!$B$22:$B$27</xm:f>
          </x14:formula1>
          <xm:sqref>L35 L37 L58 L60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1AC8B-6B7C-D047-8CE0-C571C431768D}">
  <dimension ref="A1:AX70"/>
  <sheetViews>
    <sheetView tabSelected="1" topLeftCell="A22" zoomScale="65" workbookViewId="0">
      <selection activeCell="B37" sqref="B37"/>
    </sheetView>
  </sheetViews>
  <sheetFormatPr baseColWidth="10" defaultRowHeight="15" outlineLevelCol="1" x14ac:dyDescent="0.2"/>
  <cols>
    <col min="1" max="1" width="19.5" style="66" customWidth="1"/>
    <col min="2" max="2" width="6.6640625" style="75" customWidth="1"/>
    <col min="3" max="4" width="23" style="66" customWidth="1"/>
    <col min="5" max="5" width="114.6640625" style="66" customWidth="1"/>
    <col min="6" max="6" width="11.5" style="75" customWidth="1"/>
    <col min="7" max="7" width="28.33203125" style="66" customWidth="1"/>
    <col min="8" max="8" width="22.1640625" style="66" customWidth="1"/>
    <col min="9" max="9" width="17.33203125" style="66" bestFit="1" customWidth="1"/>
    <col min="10" max="10" width="14.6640625" style="75" customWidth="1"/>
    <col min="11" max="11" width="83.83203125" style="66" customWidth="1"/>
    <col min="12" max="12" width="24.33203125" style="75" bestFit="1" customWidth="1"/>
    <col min="13" max="14" width="22.1640625" style="66" customWidth="1"/>
    <col min="15" max="15" width="26.83203125" style="66" customWidth="1"/>
    <col min="16" max="29" width="3.33203125" style="66" customWidth="1" outlineLevel="1"/>
    <col min="30" max="30" width="20.33203125" style="66" customWidth="1"/>
    <col min="31" max="31" width="16" style="66" bestFit="1" customWidth="1"/>
    <col min="32" max="32" width="27.83203125" style="66" customWidth="1"/>
    <col min="33" max="33" width="76.83203125" style="66" customWidth="1"/>
    <col min="34" max="34" width="9.5" style="66" bestFit="1" customWidth="1"/>
    <col min="35" max="35" width="11.1640625" style="66" bestFit="1" customWidth="1"/>
    <col min="36" max="36" width="38" style="66" customWidth="1"/>
    <col min="37" max="37" width="10.83203125" style="66"/>
    <col min="38" max="38" width="25.33203125" style="66" customWidth="1"/>
    <col min="39" max="39" width="34.6640625" style="66" customWidth="1"/>
    <col min="40" max="41" width="27.5" style="66" customWidth="1"/>
    <col min="42" max="42" width="16.83203125" style="66" customWidth="1"/>
    <col min="43" max="43" width="22.6640625" style="66" customWidth="1"/>
    <col min="44" max="44" width="19.5" style="66" customWidth="1"/>
    <col min="45" max="45" width="10.83203125" style="66"/>
    <col min="46" max="46" width="24.83203125" style="66" customWidth="1"/>
    <col min="47" max="47" width="22" style="66" customWidth="1"/>
    <col min="48" max="48" width="30.83203125" style="66" customWidth="1"/>
    <col min="49" max="49" width="10.83203125" style="66"/>
    <col min="50" max="50" width="29.83203125" style="66" customWidth="1"/>
    <col min="51" max="51" width="10.83203125" style="66"/>
    <col min="52" max="52" width="11.6640625" style="66" customWidth="1"/>
    <col min="53" max="53" width="12.5" style="66" customWidth="1"/>
    <col min="54" max="54" width="19.33203125" style="66" customWidth="1"/>
    <col min="55" max="55" width="10.83203125" style="66"/>
    <col min="56" max="56" width="16.5" style="66" customWidth="1"/>
    <col min="57" max="57" width="17.83203125" style="66" customWidth="1"/>
    <col min="58" max="58" width="10.83203125" style="66"/>
    <col min="59" max="59" width="18.5" style="66" customWidth="1"/>
    <col min="60" max="60" width="14.33203125" style="66" customWidth="1"/>
    <col min="61" max="62" width="18.5" style="66" customWidth="1"/>
    <col min="63" max="16384" width="10.83203125" style="66"/>
  </cols>
  <sheetData>
    <row r="1" spans="1:50" x14ac:dyDescent="0.2">
      <c r="C1" s="137"/>
      <c r="D1" s="137"/>
      <c r="E1" s="137"/>
      <c r="F1" s="138"/>
      <c r="G1" s="137"/>
      <c r="H1" s="137"/>
      <c r="I1" s="137"/>
      <c r="J1" s="138"/>
      <c r="K1" s="137"/>
      <c r="L1" s="138"/>
      <c r="M1" s="137"/>
      <c r="N1" s="137"/>
    </row>
    <row r="2" spans="1:50" x14ac:dyDescent="0.2">
      <c r="C2" s="137"/>
      <c r="D2" s="137"/>
      <c r="E2" s="137"/>
      <c r="F2" s="138"/>
      <c r="G2" s="137"/>
      <c r="H2" s="137"/>
      <c r="I2" s="137"/>
      <c r="J2" s="138"/>
      <c r="K2" s="137"/>
      <c r="L2" s="138"/>
      <c r="M2" s="137"/>
      <c r="N2" s="137"/>
    </row>
    <row r="3" spans="1:50" x14ac:dyDescent="0.2">
      <c r="C3" s="137"/>
      <c r="D3" s="137"/>
      <c r="E3" s="137"/>
      <c r="F3" s="138"/>
      <c r="G3" s="137"/>
      <c r="H3" s="137"/>
      <c r="I3" s="137"/>
      <c r="J3" s="138"/>
      <c r="K3" s="137"/>
      <c r="L3" s="138"/>
      <c r="M3" s="137"/>
      <c r="N3" s="137"/>
    </row>
    <row r="4" spans="1:50" ht="16" thickBot="1" x14ac:dyDescent="0.25"/>
    <row r="5" spans="1:50" ht="142" x14ac:dyDescent="0.2">
      <c r="B5" s="153" t="s">
        <v>579</v>
      </c>
      <c r="C5" s="139" t="s">
        <v>137</v>
      </c>
      <c r="D5" s="139"/>
      <c r="E5" s="139" t="s">
        <v>103</v>
      </c>
      <c r="F5" s="139" t="s">
        <v>122</v>
      </c>
      <c r="G5" s="139" t="s">
        <v>134</v>
      </c>
      <c r="H5" s="139" t="s">
        <v>345</v>
      </c>
      <c r="I5" s="140" t="s">
        <v>424</v>
      </c>
      <c r="J5" s="140" t="s">
        <v>1</v>
      </c>
      <c r="K5" s="141" t="s">
        <v>422</v>
      </c>
      <c r="L5" s="142" t="s">
        <v>355</v>
      </c>
      <c r="M5" s="142" t="s">
        <v>356</v>
      </c>
      <c r="N5" s="142" t="s">
        <v>8</v>
      </c>
      <c r="O5" s="141" t="s">
        <v>9</v>
      </c>
      <c r="P5" s="152" t="s">
        <v>6</v>
      </c>
      <c r="Q5" s="152" t="s">
        <v>7</v>
      </c>
      <c r="R5" s="152" t="s">
        <v>8</v>
      </c>
      <c r="S5" s="152" t="s">
        <v>10</v>
      </c>
      <c r="T5" s="152" t="s">
        <v>14</v>
      </c>
      <c r="U5" s="152" t="s">
        <v>650</v>
      </c>
      <c r="V5" s="152" t="s">
        <v>12</v>
      </c>
      <c r="W5" s="152" t="s">
        <v>13</v>
      </c>
      <c r="X5" s="152" t="s">
        <v>17</v>
      </c>
      <c r="Y5" s="152" t="s">
        <v>15</v>
      </c>
      <c r="Z5" s="152" t="s">
        <v>16</v>
      </c>
      <c r="AA5" s="152" t="s">
        <v>18</v>
      </c>
      <c r="AB5" s="152" t="s">
        <v>19</v>
      </c>
      <c r="AC5" s="152" t="s">
        <v>647</v>
      </c>
      <c r="AD5" s="96" t="s">
        <v>429</v>
      </c>
      <c r="AE5" s="96" t="s">
        <v>580</v>
      </c>
      <c r="AF5" s="96" t="s">
        <v>581</v>
      </c>
      <c r="AG5" s="141" t="s">
        <v>582</v>
      </c>
      <c r="AH5" s="141" t="s">
        <v>583</v>
      </c>
      <c r="AI5" s="141" t="s">
        <v>584</v>
      </c>
      <c r="AJ5" s="143" t="s">
        <v>713</v>
      </c>
    </row>
    <row r="6" spans="1:50" ht="80" x14ac:dyDescent="0.2">
      <c r="A6" s="66">
        <f>VLOOKUP(F6,$I$40:$I$69,1,0)</f>
        <v>18889</v>
      </c>
      <c r="B6" s="144">
        <v>1</v>
      </c>
      <c r="C6" s="74" t="s">
        <v>42</v>
      </c>
      <c r="D6" s="66" t="s">
        <v>34</v>
      </c>
      <c r="E6" s="145" t="s">
        <v>338</v>
      </c>
      <c r="F6" s="208">
        <v>18889</v>
      </c>
      <c r="G6" s="74" t="s">
        <v>202</v>
      </c>
      <c r="H6" s="129">
        <v>5700377800</v>
      </c>
      <c r="I6" s="146" t="s">
        <v>0</v>
      </c>
      <c r="J6" s="146" t="s">
        <v>365</v>
      </c>
      <c r="K6" s="145" t="s">
        <v>347</v>
      </c>
      <c r="L6" s="130">
        <v>5700377800</v>
      </c>
      <c r="M6" s="147" t="s">
        <v>357</v>
      </c>
      <c r="N6" s="146" t="s">
        <v>459</v>
      </c>
      <c r="O6" s="74" t="s">
        <v>341</v>
      </c>
      <c r="P6" s="74" t="s">
        <v>340</v>
      </c>
      <c r="Q6" s="74" t="s">
        <v>340</v>
      </c>
      <c r="R6" s="74" t="s">
        <v>340</v>
      </c>
      <c r="S6" s="74" t="s">
        <v>340</v>
      </c>
      <c r="T6" s="74" t="s">
        <v>340</v>
      </c>
      <c r="U6" s="74" t="s">
        <v>340</v>
      </c>
      <c r="V6" s="74" t="s">
        <v>340</v>
      </c>
      <c r="W6" s="74" t="s">
        <v>340</v>
      </c>
      <c r="X6" s="74" t="s">
        <v>340</v>
      </c>
      <c r="Y6" s="74" t="s">
        <v>340</v>
      </c>
      <c r="Z6" s="74" t="s">
        <v>340</v>
      </c>
      <c r="AA6" s="74" t="s">
        <v>342</v>
      </c>
      <c r="AB6" s="74" t="s">
        <v>340</v>
      </c>
      <c r="AC6" s="74">
        <v>0</v>
      </c>
      <c r="AD6" s="166">
        <v>45890</v>
      </c>
      <c r="AE6" s="166">
        <v>45890</v>
      </c>
      <c r="AF6" s="72" t="s">
        <v>482</v>
      </c>
      <c r="AG6" s="154" t="s">
        <v>934</v>
      </c>
      <c r="AH6" s="74" t="s">
        <v>623</v>
      </c>
      <c r="AI6" s="74">
        <v>3178218610</v>
      </c>
      <c r="AJ6" s="173" t="s">
        <v>711</v>
      </c>
      <c r="AK6" s="205"/>
      <c r="AL6" s="66" t="e" cm="1">
        <f t="array" ref="AL6:AU37">VLOOKUP(F6:F22,C39:L70,1,C39:L70)</f>
        <v>#VALUE!</v>
      </c>
      <c r="AM6" s="66" t="e">
        <v>#N/A</v>
      </c>
      <c r="AN6" s="66" t="e">
        <v>#VALUE!</v>
      </c>
      <c r="AO6" s="66" t="e">
        <v>#VALUE!</v>
      </c>
      <c r="AP6" s="66" t="e">
        <v>#VALUE!</v>
      </c>
      <c r="AQ6" s="66" t="e">
        <v>#VALUE!</v>
      </c>
      <c r="AR6" s="66" t="e">
        <v>#VALUE!</v>
      </c>
      <c r="AS6" s="66" t="e">
        <v>#VALUE!</v>
      </c>
      <c r="AT6" s="66" t="e">
        <v>#VALUE!</v>
      </c>
      <c r="AU6" s="66" t="e">
        <v>#VALUE!</v>
      </c>
      <c r="AV6" s="188">
        <v>18889</v>
      </c>
      <c r="AX6" s="66" t="b">
        <f>AV6=F6</f>
        <v>1</v>
      </c>
    </row>
    <row r="7" spans="1:50" ht="80" x14ac:dyDescent="0.2">
      <c r="A7" s="66">
        <f>VLOOKUP(F7,$I$40:$I$69,1,0)</f>
        <v>18890</v>
      </c>
      <c r="B7" s="144">
        <v>2</v>
      </c>
      <c r="C7" s="74" t="s">
        <v>42</v>
      </c>
      <c r="D7" s="66" t="s">
        <v>34</v>
      </c>
      <c r="E7" s="145" t="s">
        <v>176</v>
      </c>
      <c r="F7" s="208">
        <v>18890</v>
      </c>
      <c r="G7" s="74" t="s">
        <v>187</v>
      </c>
      <c r="H7" s="129">
        <v>599955458</v>
      </c>
      <c r="I7" s="146" t="s">
        <v>0</v>
      </c>
      <c r="J7" s="146" t="s">
        <v>365</v>
      </c>
      <c r="K7" s="145" t="s">
        <v>348</v>
      </c>
      <c r="L7" s="130">
        <v>599955458</v>
      </c>
      <c r="M7" s="147" t="s">
        <v>358</v>
      </c>
      <c r="N7" s="146" t="s">
        <v>563</v>
      </c>
      <c r="O7" s="74" t="s">
        <v>349</v>
      </c>
      <c r="P7" s="74" t="s">
        <v>340</v>
      </c>
      <c r="Q7" s="74" t="s">
        <v>340</v>
      </c>
      <c r="R7" s="74" t="s">
        <v>340</v>
      </c>
      <c r="S7" s="74" t="s">
        <v>340</v>
      </c>
      <c r="T7" s="74" t="s">
        <v>340</v>
      </c>
      <c r="U7" s="74" t="s">
        <v>340</v>
      </c>
      <c r="V7" s="74" t="s">
        <v>340</v>
      </c>
      <c r="W7" s="74" t="s">
        <v>340</v>
      </c>
      <c r="X7" s="74" t="s">
        <v>340</v>
      </c>
      <c r="Y7" s="74" t="s">
        <v>340</v>
      </c>
      <c r="Z7" s="74" t="s">
        <v>340</v>
      </c>
      <c r="AA7" s="74" t="s">
        <v>342</v>
      </c>
      <c r="AB7" s="74" t="s">
        <v>340</v>
      </c>
      <c r="AC7" s="74">
        <v>0</v>
      </c>
      <c r="AD7" s="166">
        <v>45897</v>
      </c>
      <c r="AE7" s="166">
        <v>45897</v>
      </c>
      <c r="AF7" s="72" t="s">
        <v>426</v>
      </c>
      <c r="AG7" s="154" t="s">
        <v>935</v>
      </c>
      <c r="AH7" s="74" t="s">
        <v>623</v>
      </c>
      <c r="AI7" s="74">
        <v>3178218610</v>
      </c>
      <c r="AJ7" s="173" t="s">
        <v>712</v>
      </c>
      <c r="AK7" s="205"/>
      <c r="AL7" s="66" t="e">
        <v>#VALUE!</v>
      </c>
      <c r="AM7" s="66" t="e">
        <v>#N/A</v>
      </c>
      <c r="AN7" s="66" t="e">
        <v>#VALUE!</v>
      </c>
      <c r="AO7" s="66" t="e">
        <v>#N/A</v>
      </c>
      <c r="AP7" s="66" t="e">
        <v>#VALUE!</v>
      </c>
      <c r="AQ7" s="66" t="e">
        <v>#VALUE!</v>
      </c>
      <c r="AR7" s="66" t="e">
        <v>#N/A</v>
      </c>
      <c r="AS7" s="66" t="e">
        <v>#VALUE!</v>
      </c>
      <c r="AT7" s="66" t="e">
        <v>#VALUE!</v>
      </c>
      <c r="AU7" s="66" t="e">
        <v>#N/A</v>
      </c>
      <c r="AV7" s="188">
        <v>18890</v>
      </c>
      <c r="AX7" s="66" t="b">
        <f>AV7=F7</f>
        <v>1</v>
      </c>
    </row>
    <row r="8" spans="1:50" ht="54" customHeight="1" x14ac:dyDescent="0.2">
      <c r="A8" s="66">
        <f>VLOOKUP(F8,$I$40:$I$69,1,0)</f>
        <v>18933</v>
      </c>
      <c r="B8" s="144">
        <v>3</v>
      </c>
      <c r="C8" s="74" t="s">
        <v>49</v>
      </c>
      <c r="D8" s="66" t="s">
        <v>34</v>
      </c>
      <c r="E8" s="145" t="s">
        <v>339</v>
      </c>
      <c r="F8" s="212">
        <v>18933</v>
      </c>
      <c r="G8" s="74" t="s">
        <v>219</v>
      </c>
      <c r="H8" s="129">
        <v>260000000</v>
      </c>
      <c r="I8" s="146" t="s">
        <v>0</v>
      </c>
      <c r="J8" s="146" t="s">
        <v>365</v>
      </c>
      <c r="K8" s="145" t="s">
        <v>352</v>
      </c>
      <c r="L8" s="130">
        <v>259935133</v>
      </c>
      <c r="M8" s="147" t="s">
        <v>359</v>
      </c>
      <c r="N8" s="146" t="s">
        <v>364</v>
      </c>
      <c r="O8" s="74" t="s">
        <v>362</v>
      </c>
      <c r="P8" s="74" t="s">
        <v>340</v>
      </c>
      <c r="Q8" s="74" t="s">
        <v>340</v>
      </c>
      <c r="R8" s="74" t="s">
        <v>340</v>
      </c>
      <c r="S8" s="74" t="s">
        <v>340</v>
      </c>
      <c r="T8" s="167" t="s">
        <v>651</v>
      </c>
      <c r="U8" s="74" t="s">
        <v>340</v>
      </c>
      <c r="V8" s="74" t="s">
        <v>340</v>
      </c>
      <c r="W8" s="74" t="s">
        <v>340</v>
      </c>
      <c r="X8" s="74" t="s">
        <v>340</v>
      </c>
      <c r="Y8" s="74" t="s">
        <v>340</v>
      </c>
      <c r="Z8" s="74" t="s">
        <v>340</v>
      </c>
      <c r="AA8" s="74" t="s">
        <v>340</v>
      </c>
      <c r="AB8" s="167" t="s">
        <v>651</v>
      </c>
      <c r="AC8" s="74" t="s">
        <v>340</v>
      </c>
      <c r="AD8" s="166">
        <v>45897</v>
      </c>
      <c r="AE8" s="166">
        <v>45897</v>
      </c>
      <c r="AF8" s="72" t="s">
        <v>431</v>
      </c>
      <c r="AG8" s="154" t="s">
        <v>652</v>
      </c>
      <c r="AH8" s="74"/>
      <c r="AI8" s="74"/>
      <c r="AJ8" s="173" t="s">
        <v>714</v>
      </c>
      <c r="AL8" s="66" t="e">
        <v>#VALUE!</v>
      </c>
      <c r="AM8" s="66" t="e">
        <v>#N/A</v>
      </c>
      <c r="AN8" s="66" t="e">
        <v>#VALUE!</v>
      </c>
      <c r="AO8" s="66" t="e">
        <v>#N/A</v>
      </c>
      <c r="AP8" s="66" t="e">
        <v>#VALUE!</v>
      </c>
      <c r="AQ8" s="66" t="e">
        <v>#VALUE!</v>
      </c>
      <c r="AR8" s="66" t="e">
        <v>#N/A</v>
      </c>
      <c r="AS8" s="66" t="e">
        <v>#VALUE!</v>
      </c>
      <c r="AT8" s="66" t="e">
        <v>#VALUE!</v>
      </c>
      <c r="AU8" s="66" t="e">
        <v>#N/A</v>
      </c>
      <c r="AV8" s="188">
        <v>18918</v>
      </c>
      <c r="AX8" s="66" t="b">
        <f>AV8=F8</f>
        <v>0</v>
      </c>
    </row>
    <row r="9" spans="1:50" ht="64" x14ac:dyDescent="0.2">
      <c r="A9" s="66">
        <f>VLOOKUP(F9,$I$40:$I$69,1,0)</f>
        <v>18946</v>
      </c>
      <c r="B9" s="144">
        <v>4</v>
      </c>
      <c r="C9" s="74" t="s">
        <v>49</v>
      </c>
      <c r="D9" s="66" t="s">
        <v>34</v>
      </c>
      <c r="E9" s="145" t="s">
        <v>206</v>
      </c>
      <c r="F9" s="208">
        <v>18946</v>
      </c>
      <c r="G9" s="74" t="s">
        <v>212</v>
      </c>
      <c r="H9" s="129">
        <v>500000000</v>
      </c>
      <c r="I9" s="146" t="s">
        <v>0</v>
      </c>
      <c r="J9" s="146" t="s">
        <v>365</v>
      </c>
      <c r="K9" s="145" t="s">
        <v>409</v>
      </c>
      <c r="L9" s="130">
        <v>500000000</v>
      </c>
      <c r="M9" s="147" t="s">
        <v>407</v>
      </c>
      <c r="N9" s="146" t="s">
        <v>433</v>
      </c>
      <c r="O9" s="74" t="s">
        <v>408</v>
      </c>
      <c r="P9" s="74" t="s">
        <v>340</v>
      </c>
      <c r="Q9" s="74" t="s">
        <v>340</v>
      </c>
      <c r="R9" s="74" t="s">
        <v>340</v>
      </c>
      <c r="S9" s="74" t="s">
        <v>340</v>
      </c>
      <c r="T9" s="167" t="s">
        <v>651</v>
      </c>
      <c r="U9" s="74" t="s">
        <v>340</v>
      </c>
      <c r="V9" s="74" t="s">
        <v>340</v>
      </c>
      <c r="W9" s="74" t="s">
        <v>340</v>
      </c>
      <c r="X9" s="74" t="s">
        <v>340</v>
      </c>
      <c r="Y9" s="74" t="s">
        <v>340</v>
      </c>
      <c r="Z9" s="74" t="s">
        <v>340</v>
      </c>
      <c r="AA9" s="74" t="s">
        <v>340</v>
      </c>
      <c r="AB9" s="167" t="s">
        <v>651</v>
      </c>
      <c r="AC9" s="74" t="s">
        <v>340</v>
      </c>
      <c r="AD9" s="166">
        <v>45897</v>
      </c>
      <c r="AE9" s="166">
        <v>45897</v>
      </c>
      <c r="AF9" s="72" t="s">
        <v>431</v>
      </c>
      <c r="AG9" s="154" t="s">
        <v>653</v>
      </c>
      <c r="AH9" s="74"/>
      <c r="AI9" s="74"/>
      <c r="AJ9" s="173" t="s">
        <v>715</v>
      </c>
      <c r="AL9" s="66" t="e">
        <v>#VALUE!</v>
      </c>
      <c r="AM9" s="66" t="e">
        <v>#N/A</v>
      </c>
      <c r="AN9" s="66" t="e">
        <v>#VALUE!</v>
      </c>
      <c r="AO9" s="66" t="e">
        <v>#N/A</v>
      </c>
      <c r="AP9" s="66" t="e">
        <v>#VALUE!</v>
      </c>
      <c r="AQ9" s="66" t="e">
        <v>#VALUE!</v>
      </c>
      <c r="AR9" s="66" t="e">
        <v>#N/A</v>
      </c>
      <c r="AS9" s="66" t="e">
        <v>#VALUE!</v>
      </c>
      <c r="AT9" s="66" t="e">
        <v>#VALUE!</v>
      </c>
      <c r="AU9" s="66" t="e">
        <v>#N/A</v>
      </c>
      <c r="AV9" s="188">
        <v>19009</v>
      </c>
      <c r="AX9" s="66" t="b">
        <f>AV9=F9</f>
        <v>0</v>
      </c>
    </row>
    <row r="10" spans="1:50" ht="64" x14ac:dyDescent="0.2">
      <c r="A10" s="66">
        <f>VLOOKUP(F10,$I$40:$I$69,1,0)</f>
        <v>18918</v>
      </c>
      <c r="B10" s="144">
        <v>5</v>
      </c>
      <c r="C10" s="74" t="s">
        <v>49</v>
      </c>
      <c r="D10" s="66" t="s">
        <v>34</v>
      </c>
      <c r="E10" s="145" t="s">
        <v>221</v>
      </c>
      <c r="F10" s="208">
        <v>18918</v>
      </c>
      <c r="G10" s="156" t="s">
        <v>230</v>
      </c>
      <c r="H10" s="129">
        <v>15661471447</v>
      </c>
      <c r="I10" s="146" t="s">
        <v>0</v>
      </c>
      <c r="J10" s="146" t="s">
        <v>365</v>
      </c>
      <c r="K10" s="145" t="s">
        <v>434</v>
      </c>
      <c r="L10" s="130">
        <v>15656970902</v>
      </c>
      <c r="M10" s="147" t="s">
        <v>357</v>
      </c>
      <c r="N10" s="146" t="s">
        <v>435</v>
      </c>
      <c r="O10" s="74" t="s">
        <v>436</v>
      </c>
      <c r="P10" s="74" t="s">
        <v>340</v>
      </c>
      <c r="Q10" s="74" t="s">
        <v>340</v>
      </c>
      <c r="R10" s="74" t="s">
        <v>340</v>
      </c>
      <c r="S10" s="74" t="s">
        <v>340</v>
      </c>
      <c r="T10" s="167" t="s">
        <v>651</v>
      </c>
      <c r="U10" s="74" t="s">
        <v>340</v>
      </c>
      <c r="V10" s="74" t="s">
        <v>340</v>
      </c>
      <c r="W10" s="74" t="s">
        <v>340</v>
      </c>
      <c r="X10" s="74" t="s">
        <v>340</v>
      </c>
      <c r="Y10" s="74" t="s">
        <v>340</v>
      </c>
      <c r="Z10" s="74" t="s">
        <v>340</v>
      </c>
      <c r="AA10" s="74" t="s">
        <v>342</v>
      </c>
      <c r="AB10" s="167" t="s">
        <v>651</v>
      </c>
      <c r="AC10" s="74"/>
      <c r="AD10" s="166">
        <v>45897</v>
      </c>
      <c r="AE10" s="166">
        <v>45897</v>
      </c>
      <c r="AF10" s="72" t="s">
        <v>427</v>
      </c>
      <c r="AG10" s="154" t="s">
        <v>654</v>
      </c>
      <c r="AH10" s="158"/>
      <c r="AI10" s="74"/>
      <c r="AJ10" s="173" t="s">
        <v>716</v>
      </c>
      <c r="AL10" s="66" t="e">
        <v>#VALUE!</v>
      </c>
      <c r="AM10" s="66" t="e">
        <v>#N/A</v>
      </c>
      <c r="AN10" s="66" t="e">
        <v>#VALUE!</v>
      </c>
      <c r="AO10" s="66" t="e">
        <v>#N/A</v>
      </c>
      <c r="AP10" s="66" t="e">
        <v>#VALUE!</v>
      </c>
      <c r="AQ10" s="66" t="e">
        <v>#VALUE!</v>
      </c>
      <c r="AR10" s="66" t="e">
        <v>#N/A</v>
      </c>
      <c r="AS10" s="66" t="e">
        <v>#VALUE!</v>
      </c>
      <c r="AT10" s="66" t="e">
        <v>#VALUE!</v>
      </c>
      <c r="AU10" s="66" t="e">
        <v>#N/A</v>
      </c>
      <c r="AV10" s="188">
        <v>18946</v>
      </c>
      <c r="AX10" s="66" t="b">
        <f>AV10=F10</f>
        <v>0</v>
      </c>
    </row>
    <row r="11" spans="1:50" ht="51" x14ac:dyDescent="0.2">
      <c r="A11" s="66">
        <f>VLOOKUP(F11,$I$40:$I$69,1,0)</f>
        <v>18996</v>
      </c>
      <c r="B11" s="144">
        <v>6</v>
      </c>
      <c r="C11" s="74" t="s">
        <v>65</v>
      </c>
      <c r="D11" s="66" t="s">
        <v>34</v>
      </c>
      <c r="E11" s="145" t="s">
        <v>248</v>
      </c>
      <c r="F11" s="212">
        <v>18996</v>
      </c>
      <c r="G11" s="156" t="s">
        <v>252</v>
      </c>
      <c r="H11" s="129">
        <v>5045473784</v>
      </c>
      <c r="I11" s="146" t="s">
        <v>0</v>
      </c>
      <c r="J11" s="146" t="s">
        <v>365</v>
      </c>
      <c r="K11" s="145" t="s">
        <v>717</v>
      </c>
      <c r="L11" s="130">
        <v>5045473784</v>
      </c>
      <c r="M11" s="147" t="s">
        <v>357</v>
      </c>
      <c r="N11" s="146" t="s">
        <v>459</v>
      </c>
      <c r="O11" s="74" t="s">
        <v>458</v>
      </c>
      <c r="P11" s="74"/>
      <c r="Q11" s="74"/>
      <c r="R11" s="74"/>
      <c r="S11" s="74"/>
      <c r="T11" s="74"/>
      <c r="U11" s="74"/>
      <c r="V11" s="74"/>
      <c r="W11" s="74"/>
      <c r="X11" s="74"/>
      <c r="Y11" s="74"/>
      <c r="Z11" s="74"/>
      <c r="AA11" s="74"/>
      <c r="AB11" s="74"/>
      <c r="AC11" s="74"/>
      <c r="AD11" s="166">
        <v>45901</v>
      </c>
      <c r="AE11" s="166"/>
      <c r="AF11" s="72" t="s">
        <v>482</v>
      </c>
      <c r="AG11" s="154" t="s">
        <v>949</v>
      </c>
      <c r="AH11" s="74"/>
      <c r="AI11" s="74"/>
      <c r="AJ11" s="173" t="s">
        <v>718</v>
      </c>
      <c r="AK11" s="205"/>
      <c r="AL11" s="66" t="e">
        <v>#VALUE!</v>
      </c>
      <c r="AM11" s="66" t="e">
        <v>#N/A</v>
      </c>
      <c r="AN11" s="66" t="e">
        <v>#VALUE!</v>
      </c>
      <c r="AO11" s="66" t="e">
        <v>#N/A</v>
      </c>
      <c r="AP11" s="66" t="e">
        <v>#VALUE!</v>
      </c>
      <c r="AQ11" s="66" t="e">
        <v>#VALUE!</v>
      </c>
      <c r="AR11" s="66" t="e">
        <v>#N/A</v>
      </c>
      <c r="AS11" s="66" t="e">
        <v>#VALUE!</v>
      </c>
      <c r="AT11" s="66" t="e">
        <v>#VALUE!</v>
      </c>
      <c r="AU11" s="66" t="e">
        <v>#N/A</v>
      </c>
      <c r="AV11" s="188">
        <v>18928</v>
      </c>
      <c r="AX11" s="66" t="b">
        <f>AV11=F11</f>
        <v>0</v>
      </c>
    </row>
    <row r="12" spans="1:50" ht="80" x14ac:dyDescent="0.2">
      <c r="A12" s="66">
        <f>VLOOKUP(F12,$I$40:$I$69,1,0)</f>
        <v>19000</v>
      </c>
      <c r="B12" s="144">
        <v>7</v>
      </c>
      <c r="C12" s="74" t="s">
        <v>65</v>
      </c>
      <c r="D12" s="66" t="s">
        <v>34</v>
      </c>
      <c r="E12" s="145" t="s">
        <v>234</v>
      </c>
      <c r="F12" s="212">
        <v>19000</v>
      </c>
      <c r="G12" s="156" t="s">
        <v>238</v>
      </c>
      <c r="H12" s="129">
        <v>3868314995</v>
      </c>
      <c r="I12" s="146" t="s">
        <v>0</v>
      </c>
      <c r="J12" s="146" t="s">
        <v>365</v>
      </c>
      <c r="K12" s="145" t="s">
        <v>473</v>
      </c>
      <c r="L12" s="130">
        <v>11621192881</v>
      </c>
      <c r="M12" s="147" t="s">
        <v>357</v>
      </c>
      <c r="N12" s="146" t="s">
        <v>474</v>
      </c>
      <c r="O12" s="74" t="s">
        <v>472</v>
      </c>
      <c r="P12" s="74"/>
      <c r="Q12" s="74"/>
      <c r="R12" s="74"/>
      <c r="S12" s="74"/>
      <c r="T12" s="74"/>
      <c r="U12" s="74"/>
      <c r="V12" s="74"/>
      <c r="W12" s="74"/>
      <c r="X12" s="74"/>
      <c r="Y12" s="74"/>
      <c r="Z12" s="74"/>
      <c r="AA12" s="74"/>
      <c r="AB12" s="74"/>
      <c r="AC12" s="74"/>
      <c r="AD12" s="166">
        <v>45908</v>
      </c>
      <c r="AE12" s="74"/>
      <c r="AF12" s="72" t="s">
        <v>426</v>
      </c>
      <c r="AG12" s="154" t="s">
        <v>951</v>
      </c>
      <c r="AH12" s="74"/>
      <c r="AI12" s="74"/>
      <c r="AJ12" s="173" t="s">
        <v>720</v>
      </c>
      <c r="AK12" s="205" t="s">
        <v>721</v>
      </c>
      <c r="AL12" s="66" t="e">
        <v>#VALUE!</v>
      </c>
      <c r="AM12" s="66" t="e">
        <v>#N/A</v>
      </c>
      <c r="AN12" s="66" t="e">
        <v>#VALUE!</v>
      </c>
      <c r="AO12" s="66" t="e">
        <v>#N/A</v>
      </c>
      <c r="AP12" s="66" t="e">
        <v>#VALUE!</v>
      </c>
      <c r="AQ12" s="66" t="e">
        <v>#VALUE!</v>
      </c>
      <c r="AR12" s="66" t="e">
        <v>#N/A</v>
      </c>
      <c r="AS12" s="66" t="e">
        <v>#VALUE!</v>
      </c>
      <c r="AT12" s="66" t="e">
        <v>#VALUE!</v>
      </c>
      <c r="AU12" s="66" t="e">
        <v>#N/A</v>
      </c>
      <c r="AV12" s="188">
        <v>18930</v>
      </c>
      <c r="AX12" s="66" t="b">
        <f>AV12=F12</f>
        <v>0</v>
      </c>
    </row>
    <row r="13" spans="1:50" ht="80" x14ac:dyDescent="0.2">
      <c r="A13" s="66">
        <f>VLOOKUP(F13,$I$40:$I$69,1,0)</f>
        <v>18998</v>
      </c>
      <c r="B13" s="144">
        <v>8</v>
      </c>
      <c r="C13" s="74" t="s">
        <v>65</v>
      </c>
      <c r="D13" s="66" t="s">
        <v>34</v>
      </c>
      <c r="E13" s="145" t="s">
        <v>241</v>
      </c>
      <c r="F13" s="212">
        <v>18998</v>
      </c>
      <c r="G13" s="74" t="s">
        <v>246</v>
      </c>
      <c r="H13" s="129">
        <v>403637903</v>
      </c>
      <c r="I13" s="146" t="s">
        <v>0</v>
      </c>
      <c r="J13" s="146" t="s">
        <v>365</v>
      </c>
      <c r="K13" s="145" t="s">
        <v>484</v>
      </c>
      <c r="L13" s="130">
        <v>403605567</v>
      </c>
      <c r="M13" s="147" t="s">
        <v>358</v>
      </c>
      <c r="N13" s="146" t="s">
        <v>485</v>
      </c>
      <c r="O13" s="74" t="s">
        <v>483</v>
      </c>
      <c r="P13" s="74"/>
      <c r="Q13" s="74"/>
      <c r="R13" s="74"/>
      <c r="S13" s="74"/>
      <c r="T13" s="74"/>
      <c r="U13" s="74"/>
      <c r="V13" s="74"/>
      <c r="W13" s="74"/>
      <c r="X13" s="74"/>
      <c r="Y13" s="74"/>
      <c r="Z13" s="74"/>
      <c r="AA13" s="74"/>
      <c r="AB13" s="74"/>
      <c r="AC13" s="74"/>
      <c r="AD13" s="166">
        <v>45909</v>
      </c>
      <c r="AE13" s="74"/>
      <c r="AF13" s="72" t="s">
        <v>428</v>
      </c>
      <c r="AG13" s="154" t="s">
        <v>752</v>
      </c>
      <c r="AH13" s="74"/>
      <c r="AI13" s="74"/>
      <c r="AJ13" s="173" t="s">
        <v>719</v>
      </c>
      <c r="AK13" s="66" t="s">
        <v>721</v>
      </c>
      <c r="AL13" s="66" t="e">
        <v>#VALUE!</v>
      </c>
      <c r="AM13" s="66" t="e">
        <v>#N/A</v>
      </c>
      <c r="AN13" s="66" t="e">
        <v>#VALUE!</v>
      </c>
      <c r="AO13" s="66" t="e">
        <v>#N/A</v>
      </c>
      <c r="AP13" s="66" t="e">
        <v>#VALUE!</v>
      </c>
      <c r="AQ13" s="66" t="e">
        <v>#VALUE!</v>
      </c>
      <c r="AR13" s="66" t="e">
        <v>#N/A</v>
      </c>
      <c r="AS13" s="66" t="e">
        <v>#VALUE!</v>
      </c>
      <c r="AT13" s="66" t="e">
        <v>#VALUE!</v>
      </c>
      <c r="AU13" s="66" t="e">
        <v>#N/A</v>
      </c>
      <c r="AV13" s="188">
        <v>18933</v>
      </c>
      <c r="AX13" s="66" t="b">
        <f>AV13=F13</f>
        <v>0</v>
      </c>
    </row>
    <row r="14" spans="1:50" ht="51" x14ac:dyDescent="0.2">
      <c r="A14" s="66">
        <f>VLOOKUP(F14,$I$40:$I$69,1,0)</f>
        <v>19143</v>
      </c>
      <c r="B14" s="144">
        <v>9</v>
      </c>
      <c r="C14" s="74" t="s">
        <v>76</v>
      </c>
      <c r="D14" s="66" t="s">
        <v>34</v>
      </c>
      <c r="E14" s="145" t="s">
        <v>287</v>
      </c>
      <c r="F14" s="212">
        <v>19143</v>
      </c>
      <c r="G14" s="74" t="s">
        <v>295</v>
      </c>
      <c r="H14" s="129">
        <v>76024472789</v>
      </c>
      <c r="I14" s="146" t="s">
        <v>0</v>
      </c>
      <c r="J14" s="146" t="s">
        <v>365</v>
      </c>
      <c r="K14" s="145" t="s">
        <v>509</v>
      </c>
      <c r="L14" s="130">
        <v>71225128177</v>
      </c>
      <c r="M14" s="147" t="s">
        <v>288</v>
      </c>
      <c r="N14" s="146" t="s">
        <v>433</v>
      </c>
      <c r="O14" s="74" t="s">
        <v>510</v>
      </c>
      <c r="P14" s="74"/>
      <c r="Q14" s="74"/>
      <c r="R14" s="74"/>
      <c r="S14" s="74"/>
      <c r="T14" s="74"/>
      <c r="U14" s="74"/>
      <c r="V14" s="74"/>
      <c r="W14" s="74"/>
      <c r="X14" s="74"/>
      <c r="Y14" s="74"/>
      <c r="Z14" s="74"/>
      <c r="AA14" s="74"/>
      <c r="AB14" s="74"/>
      <c r="AC14" s="74"/>
      <c r="AD14" s="166">
        <v>45910</v>
      </c>
      <c r="AE14" s="74"/>
      <c r="AF14" s="72" t="s">
        <v>431</v>
      </c>
      <c r="AG14" s="154" t="s">
        <v>753</v>
      </c>
      <c r="AH14" s="74"/>
      <c r="AI14" s="74"/>
      <c r="AJ14" s="173" t="s">
        <v>754</v>
      </c>
      <c r="AK14" s="66" t="s">
        <v>721</v>
      </c>
      <c r="AL14" s="66" t="e">
        <v>#VALUE!</v>
      </c>
      <c r="AM14" s="66" t="e">
        <v>#N/A</v>
      </c>
      <c r="AN14" s="66" t="e">
        <v>#VALUE!</v>
      </c>
      <c r="AO14" s="66" t="e">
        <v>#N/A</v>
      </c>
      <c r="AP14" s="66" t="e">
        <v>#VALUE!</v>
      </c>
      <c r="AQ14" s="66" t="e">
        <v>#VALUE!</v>
      </c>
      <c r="AR14" s="66" t="e">
        <v>#N/A</v>
      </c>
      <c r="AS14" s="66" t="e">
        <v>#VALUE!</v>
      </c>
      <c r="AT14" s="66" t="e">
        <v>#VALUE!</v>
      </c>
      <c r="AU14" s="66" t="e">
        <v>#N/A</v>
      </c>
      <c r="AV14" s="188">
        <v>18926</v>
      </c>
      <c r="AX14" s="66" t="b">
        <f>AV14=F14</f>
        <v>0</v>
      </c>
    </row>
    <row r="15" spans="1:50" ht="51" x14ac:dyDescent="0.2">
      <c r="A15" s="66">
        <f>VLOOKUP(F15,$I$40:$I$69,1,0)</f>
        <v>18472</v>
      </c>
      <c r="B15" s="144">
        <v>10</v>
      </c>
      <c r="C15" s="74" t="s">
        <v>76</v>
      </c>
      <c r="D15" s="66" t="s">
        <v>34</v>
      </c>
      <c r="E15" s="145" t="s">
        <v>314</v>
      </c>
      <c r="F15" s="212">
        <v>18472</v>
      </c>
      <c r="G15" s="74" t="s">
        <v>318</v>
      </c>
      <c r="H15" s="129">
        <v>6373316503</v>
      </c>
      <c r="I15" s="146" t="s">
        <v>0</v>
      </c>
      <c r="J15" s="146" t="s">
        <v>365</v>
      </c>
      <c r="K15" s="145" t="s">
        <v>521</v>
      </c>
      <c r="L15" s="130">
        <v>4405778333</v>
      </c>
      <c r="M15" s="147" t="s">
        <v>357</v>
      </c>
      <c r="N15" s="146" t="s">
        <v>485</v>
      </c>
      <c r="O15" s="74" t="s">
        <v>522</v>
      </c>
      <c r="P15" s="74"/>
      <c r="Q15" s="74"/>
      <c r="R15" s="74"/>
      <c r="S15" s="74"/>
      <c r="T15" s="74"/>
      <c r="U15" s="74"/>
      <c r="V15" s="74"/>
      <c r="W15" s="74"/>
      <c r="X15" s="74"/>
      <c r="Y15" s="74"/>
      <c r="Z15" s="74"/>
      <c r="AA15" s="74"/>
      <c r="AB15" s="74"/>
      <c r="AC15" s="74"/>
      <c r="AD15" s="166">
        <v>45911</v>
      </c>
      <c r="AE15" s="74"/>
      <c r="AF15" s="72" t="s">
        <v>428</v>
      </c>
      <c r="AG15" s="154" t="s">
        <v>763</v>
      </c>
      <c r="AH15" s="74"/>
      <c r="AI15" s="74"/>
      <c r="AJ15" s="173" t="s">
        <v>764</v>
      </c>
      <c r="AK15" s="66" t="s">
        <v>721</v>
      </c>
      <c r="AL15" s="66" t="e">
        <v>#VALUE!</v>
      </c>
      <c r="AM15" s="66" t="e">
        <v>#N/A</v>
      </c>
      <c r="AN15" s="66" t="e">
        <v>#VALUE!</v>
      </c>
      <c r="AO15" s="66" t="e">
        <v>#N/A</v>
      </c>
      <c r="AP15" s="66" t="e">
        <v>#VALUE!</v>
      </c>
      <c r="AQ15" s="66" t="e">
        <v>#VALUE!</v>
      </c>
      <c r="AR15" s="66" t="e">
        <v>#N/A</v>
      </c>
      <c r="AS15" s="66" t="e">
        <v>#VALUE!</v>
      </c>
      <c r="AT15" s="66" t="e">
        <v>#VALUE!</v>
      </c>
      <c r="AU15" s="66" t="e">
        <v>#N/A</v>
      </c>
      <c r="AV15" s="188">
        <v>19009</v>
      </c>
      <c r="AX15" s="66" t="b">
        <f>AV15=F15</f>
        <v>0</v>
      </c>
    </row>
    <row r="16" spans="1:50" ht="51" x14ac:dyDescent="0.2">
      <c r="A16" s="66">
        <f>VLOOKUP(F16,$I$40:$I$69,1,0)</f>
        <v>18978</v>
      </c>
      <c r="B16" s="144">
        <v>11</v>
      </c>
      <c r="C16" s="74" t="s">
        <v>76</v>
      </c>
      <c r="D16" s="66" t="s">
        <v>34</v>
      </c>
      <c r="E16" s="145" t="s">
        <v>306</v>
      </c>
      <c r="F16" s="212">
        <v>18978</v>
      </c>
      <c r="G16" s="74" t="s">
        <v>312</v>
      </c>
      <c r="H16" s="129">
        <v>32527849269</v>
      </c>
      <c r="I16" s="146" t="s">
        <v>0</v>
      </c>
      <c r="J16" s="146" t="s">
        <v>365</v>
      </c>
      <c r="K16" s="145" t="s">
        <v>530</v>
      </c>
      <c r="L16" s="130">
        <v>32642128287</v>
      </c>
      <c r="M16" s="147" t="s">
        <v>357</v>
      </c>
      <c r="N16" s="146" t="s">
        <v>531</v>
      </c>
      <c r="O16" s="74" t="s">
        <v>532</v>
      </c>
      <c r="P16" s="74"/>
      <c r="Q16" s="74"/>
      <c r="R16" s="74"/>
      <c r="S16" s="74"/>
      <c r="T16" s="74"/>
      <c r="U16" s="74"/>
      <c r="V16" s="74"/>
      <c r="W16" s="74"/>
      <c r="X16" s="74"/>
      <c r="Y16" s="74"/>
      <c r="Z16" s="74"/>
      <c r="AA16" s="74"/>
      <c r="AB16" s="74"/>
      <c r="AC16" s="74"/>
      <c r="AD16" s="166">
        <v>45912</v>
      </c>
      <c r="AE16" s="74"/>
      <c r="AF16" s="72" t="s">
        <v>428</v>
      </c>
      <c r="AG16" s="154" t="s">
        <v>954</v>
      </c>
      <c r="AH16" s="74"/>
      <c r="AI16" s="74"/>
      <c r="AJ16" s="173" t="s">
        <v>765</v>
      </c>
      <c r="AK16" s="207" t="s">
        <v>721</v>
      </c>
      <c r="AL16" s="66" t="e">
        <v>#VALUE!</v>
      </c>
      <c r="AM16" s="66" t="e">
        <v>#N/A</v>
      </c>
      <c r="AN16" s="66" t="e">
        <v>#VALUE!</v>
      </c>
      <c r="AO16" s="66" t="e">
        <v>#N/A</v>
      </c>
      <c r="AP16" s="66" t="e">
        <v>#VALUE!</v>
      </c>
      <c r="AQ16" s="66" t="e">
        <v>#VALUE!</v>
      </c>
      <c r="AR16" s="66" t="e">
        <v>#N/A</v>
      </c>
      <c r="AS16" s="66" t="e">
        <v>#VALUE!</v>
      </c>
      <c r="AT16" s="66" t="e">
        <v>#VALUE!</v>
      </c>
      <c r="AU16" s="66" t="e">
        <v>#N/A</v>
      </c>
      <c r="AV16" s="188">
        <v>18996</v>
      </c>
      <c r="AX16" s="66" t="b">
        <f>AV16=F16</f>
        <v>0</v>
      </c>
    </row>
    <row r="17" spans="1:50" ht="51" x14ac:dyDescent="0.2">
      <c r="A17" s="66">
        <f>VLOOKUP(F17,$I$40:$I$69,1,0)</f>
        <v>19194</v>
      </c>
      <c r="B17" s="144">
        <v>12</v>
      </c>
      <c r="C17" s="74" t="s">
        <v>76</v>
      </c>
      <c r="D17" s="66" t="s">
        <v>34</v>
      </c>
      <c r="E17" s="145" t="s">
        <v>278</v>
      </c>
      <c r="F17" s="212">
        <v>19194</v>
      </c>
      <c r="G17" s="74" t="s">
        <v>284</v>
      </c>
      <c r="H17" s="129">
        <v>810601805</v>
      </c>
      <c r="I17" s="146"/>
      <c r="J17" s="146"/>
      <c r="K17" s="145" t="s">
        <v>539</v>
      </c>
      <c r="L17" s="130">
        <v>810600664</v>
      </c>
      <c r="M17" s="147" t="s">
        <v>542</v>
      </c>
      <c r="N17" s="146" t="s">
        <v>435</v>
      </c>
      <c r="O17" s="74" t="s">
        <v>540</v>
      </c>
      <c r="P17" s="74"/>
      <c r="Q17" s="74"/>
      <c r="R17" s="74"/>
      <c r="S17" s="74"/>
      <c r="T17" s="74"/>
      <c r="U17" s="74"/>
      <c r="V17" s="74"/>
      <c r="W17" s="74"/>
      <c r="X17" s="74"/>
      <c r="Y17" s="74"/>
      <c r="Z17" s="74"/>
      <c r="AA17" s="74"/>
      <c r="AB17" s="74"/>
      <c r="AC17" s="74"/>
      <c r="AD17" s="166">
        <v>45902</v>
      </c>
      <c r="AE17" s="74"/>
      <c r="AF17" s="72" t="s">
        <v>482</v>
      </c>
      <c r="AG17" s="154" t="s">
        <v>803</v>
      </c>
      <c r="AH17" s="74"/>
      <c r="AI17" s="74"/>
      <c r="AJ17" s="173" t="s">
        <v>780</v>
      </c>
      <c r="AK17" s="205" t="s">
        <v>721</v>
      </c>
      <c r="AL17" s="66" t="e">
        <v>#VALUE!</v>
      </c>
      <c r="AM17" s="66" t="e">
        <v>#N/A</v>
      </c>
      <c r="AN17" s="66" t="e">
        <v>#VALUE!</v>
      </c>
      <c r="AO17" s="66" t="e">
        <v>#N/A</v>
      </c>
      <c r="AP17" s="66" t="e">
        <v>#VALUE!</v>
      </c>
      <c r="AQ17" s="66" t="e">
        <v>#VALUE!</v>
      </c>
      <c r="AR17" s="66" t="e">
        <v>#N/A</v>
      </c>
      <c r="AS17" s="66" t="e">
        <v>#VALUE!</v>
      </c>
      <c r="AT17" s="66" t="e">
        <v>#VALUE!</v>
      </c>
      <c r="AU17" s="66" t="e">
        <v>#N/A</v>
      </c>
      <c r="AV17" s="188">
        <v>18998</v>
      </c>
      <c r="AX17" s="66" t="b">
        <f>AV17=F17</f>
        <v>0</v>
      </c>
    </row>
    <row r="18" spans="1:50" ht="51" x14ac:dyDescent="0.2">
      <c r="A18" s="66">
        <f>VLOOKUP(F18,$I$40:$I$69,1,0)</f>
        <v>18984</v>
      </c>
      <c r="B18" s="144">
        <v>13</v>
      </c>
      <c r="C18" s="74" t="s">
        <v>76</v>
      </c>
      <c r="D18" s="66" t="s">
        <v>34</v>
      </c>
      <c r="E18" s="145" t="s">
        <v>299</v>
      </c>
      <c r="F18" s="212">
        <v>18984</v>
      </c>
      <c r="G18" s="74" t="s">
        <v>304</v>
      </c>
      <c r="H18" s="129">
        <v>3627613990</v>
      </c>
      <c r="I18" s="146" t="s">
        <v>0</v>
      </c>
      <c r="J18" s="146" t="s">
        <v>365</v>
      </c>
      <c r="K18" s="145" t="s">
        <v>551</v>
      </c>
      <c r="L18" s="130">
        <v>1997367884</v>
      </c>
      <c r="M18" s="147" t="s">
        <v>543</v>
      </c>
      <c r="N18" s="146" t="s">
        <v>531</v>
      </c>
      <c r="O18" s="74" t="s">
        <v>550</v>
      </c>
      <c r="P18" s="74"/>
      <c r="Q18" s="74"/>
      <c r="R18" s="74"/>
      <c r="S18" s="74"/>
      <c r="T18" s="74"/>
      <c r="U18" s="74"/>
      <c r="V18" s="74"/>
      <c r="W18" s="74"/>
      <c r="X18" s="74"/>
      <c r="Y18" s="74"/>
      <c r="Z18" s="74"/>
      <c r="AA18" s="74"/>
      <c r="AB18" s="74"/>
      <c r="AC18" s="74"/>
      <c r="AD18" s="175">
        <v>45903</v>
      </c>
      <c r="AE18" s="74"/>
      <c r="AF18" s="72" t="s">
        <v>482</v>
      </c>
      <c r="AG18" s="154" t="s">
        <v>825</v>
      </c>
      <c r="AH18" s="74"/>
      <c r="AI18" s="74"/>
      <c r="AJ18" s="173" t="s">
        <v>804</v>
      </c>
      <c r="AK18" s="66" t="s">
        <v>721</v>
      </c>
      <c r="AL18" s="66" t="e">
        <v>#VALUE!</v>
      </c>
      <c r="AM18" s="66" t="e">
        <v>#N/A</v>
      </c>
      <c r="AN18" s="66" t="e">
        <v>#VALUE!</v>
      </c>
      <c r="AO18" s="66" t="e">
        <v>#N/A</v>
      </c>
      <c r="AP18" s="66" t="e">
        <v>#VALUE!</v>
      </c>
      <c r="AQ18" s="66" t="e">
        <v>#VALUE!</v>
      </c>
      <c r="AR18" s="66" t="e">
        <v>#N/A</v>
      </c>
      <c r="AS18" s="66" t="e">
        <v>#VALUE!</v>
      </c>
      <c r="AT18" s="66" t="e">
        <v>#VALUE!</v>
      </c>
      <c r="AU18" s="66" t="e">
        <v>#N/A</v>
      </c>
      <c r="AV18" s="188">
        <v>19000</v>
      </c>
      <c r="AX18" s="66" t="b">
        <f>AV18=F18</f>
        <v>0</v>
      </c>
    </row>
    <row r="19" spans="1:50" ht="64" x14ac:dyDescent="0.2">
      <c r="A19" s="66">
        <f>VLOOKUP(F19,$I$40:$I$69,1,0)</f>
        <v>18986</v>
      </c>
      <c r="B19" s="144">
        <v>14</v>
      </c>
      <c r="C19" s="74" t="s">
        <v>79</v>
      </c>
      <c r="D19" s="66" t="s">
        <v>34</v>
      </c>
      <c r="E19" s="145" t="s">
        <v>330</v>
      </c>
      <c r="F19" s="212">
        <v>18986</v>
      </c>
      <c r="G19" s="74" t="s">
        <v>332</v>
      </c>
      <c r="H19" s="129">
        <v>1176046140</v>
      </c>
      <c r="I19" s="146" t="s">
        <v>0</v>
      </c>
      <c r="J19" s="146" t="s">
        <v>365</v>
      </c>
      <c r="K19" s="145" t="s">
        <v>552</v>
      </c>
      <c r="L19" s="130">
        <v>1176046140</v>
      </c>
      <c r="M19" s="147" t="s">
        <v>542</v>
      </c>
      <c r="N19" s="146" t="s">
        <v>474</v>
      </c>
      <c r="O19" s="74" t="s">
        <v>553</v>
      </c>
      <c r="P19" s="74"/>
      <c r="Q19" s="74"/>
      <c r="R19" s="74"/>
      <c r="S19" s="74"/>
      <c r="T19" s="74"/>
      <c r="U19" s="74"/>
      <c r="V19" s="74"/>
      <c r="W19" s="74"/>
      <c r="X19" s="74"/>
      <c r="Y19" s="74"/>
      <c r="Z19" s="74"/>
      <c r="AA19" s="74"/>
      <c r="AB19" s="74"/>
      <c r="AC19" s="74"/>
      <c r="AD19" s="175">
        <v>45905</v>
      </c>
      <c r="AE19" s="74"/>
      <c r="AF19" s="72" t="s">
        <v>428</v>
      </c>
      <c r="AG19" s="154" t="s">
        <v>839</v>
      </c>
      <c r="AH19" s="74"/>
      <c r="AI19" s="74"/>
      <c r="AJ19" s="173" t="s">
        <v>840</v>
      </c>
      <c r="AK19" s="66" t="s">
        <v>721</v>
      </c>
      <c r="AL19" s="66" t="e">
        <v>#VALUE!</v>
      </c>
      <c r="AM19" s="66" t="e">
        <v>#N/A</v>
      </c>
      <c r="AN19" s="66" t="e">
        <v>#VALUE!</v>
      </c>
      <c r="AO19" s="66" t="e">
        <v>#N/A</v>
      </c>
      <c r="AP19" s="66" t="e">
        <v>#VALUE!</v>
      </c>
      <c r="AQ19" s="66" t="e">
        <v>#VALUE!</v>
      </c>
      <c r="AR19" s="66" t="e">
        <v>#N/A</v>
      </c>
      <c r="AS19" s="66" t="e">
        <v>#VALUE!</v>
      </c>
      <c r="AT19" s="66" t="e">
        <v>#VALUE!</v>
      </c>
      <c r="AU19" s="66" t="e">
        <v>#N/A</v>
      </c>
      <c r="AV19" s="188">
        <v>18910</v>
      </c>
      <c r="AX19" s="66" t="b">
        <f>AV19=F19</f>
        <v>0</v>
      </c>
    </row>
    <row r="20" spans="1:50" ht="51" x14ac:dyDescent="0.2">
      <c r="A20" s="66">
        <f>VLOOKUP(F20,$I$40:$I$69,1,0)</f>
        <v>18970</v>
      </c>
      <c r="B20" s="144">
        <v>15</v>
      </c>
      <c r="C20" s="74" t="s">
        <v>79</v>
      </c>
      <c r="D20" s="66" t="s">
        <v>34</v>
      </c>
      <c r="E20" s="145" t="s">
        <v>334</v>
      </c>
      <c r="F20" s="212">
        <v>18970</v>
      </c>
      <c r="G20" s="74" t="s">
        <v>336</v>
      </c>
      <c r="H20" s="129">
        <v>2753325060</v>
      </c>
      <c r="I20" s="146" t="s">
        <v>0</v>
      </c>
      <c r="J20" s="146" t="s">
        <v>365</v>
      </c>
      <c r="K20" s="145" t="s">
        <v>561</v>
      </c>
      <c r="L20" s="130">
        <v>2753325060</v>
      </c>
      <c r="M20" s="147" t="s">
        <v>545</v>
      </c>
      <c r="N20" s="146" t="s">
        <v>563</v>
      </c>
      <c r="O20" s="74" t="s">
        <v>562</v>
      </c>
      <c r="P20" s="74"/>
      <c r="Q20" s="74"/>
      <c r="R20" s="74"/>
      <c r="S20" s="74"/>
      <c r="T20" s="74"/>
      <c r="U20" s="74"/>
      <c r="V20" s="74"/>
      <c r="W20" s="74"/>
      <c r="X20" s="74"/>
      <c r="Y20" s="74"/>
      <c r="Z20" s="74"/>
      <c r="AA20" s="74"/>
      <c r="AB20" s="74"/>
      <c r="AC20" s="74"/>
      <c r="AD20" s="175">
        <v>45904</v>
      </c>
      <c r="AE20" s="74"/>
      <c r="AF20" s="72" t="s">
        <v>482</v>
      </c>
      <c r="AG20" s="154" t="s">
        <v>854</v>
      </c>
      <c r="AH20" s="74"/>
      <c r="AI20" s="74"/>
      <c r="AJ20" s="173" t="s">
        <v>841</v>
      </c>
      <c r="AK20" s="66" t="s">
        <v>721</v>
      </c>
      <c r="AL20" s="66" t="e">
        <v>#VALUE!</v>
      </c>
      <c r="AM20" s="66" t="e">
        <v>#N/A</v>
      </c>
      <c r="AN20" s="66" t="e">
        <v>#VALUE!</v>
      </c>
      <c r="AO20" s="66" t="e">
        <v>#N/A</v>
      </c>
      <c r="AP20" s="66" t="e">
        <v>#VALUE!</v>
      </c>
      <c r="AQ20" s="66" t="e">
        <v>#VALUE!</v>
      </c>
      <c r="AR20" s="66" t="e">
        <v>#N/A</v>
      </c>
      <c r="AS20" s="66" t="e">
        <v>#VALUE!</v>
      </c>
      <c r="AT20" s="66" t="e">
        <v>#VALUE!</v>
      </c>
      <c r="AU20" s="66" t="e">
        <v>#N/A</v>
      </c>
      <c r="AV20" s="188" t="s">
        <v>75</v>
      </c>
      <c r="AX20" s="66" t="b">
        <f>AV20=F20</f>
        <v>0</v>
      </c>
    </row>
    <row r="21" spans="1:50" ht="51" x14ac:dyDescent="0.2">
      <c r="A21" s="66">
        <f>VLOOKUP(F21,$I$40:$I$69,1,0)</f>
        <v>19383</v>
      </c>
      <c r="B21" s="144">
        <v>16</v>
      </c>
      <c r="C21" s="74" t="s">
        <v>79</v>
      </c>
      <c r="D21" s="66" t="s">
        <v>904</v>
      </c>
      <c r="E21" s="145" t="s">
        <v>322</v>
      </c>
      <c r="F21" s="212">
        <v>19383</v>
      </c>
      <c r="G21" s="74" t="s">
        <v>327</v>
      </c>
      <c r="H21" s="129">
        <v>2400326473</v>
      </c>
      <c r="I21" s="146" t="s">
        <v>0</v>
      </c>
      <c r="J21" s="146" t="s">
        <v>365</v>
      </c>
      <c r="K21" s="145" t="s">
        <v>569</v>
      </c>
      <c r="L21" s="130">
        <v>2400326473</v>
      </c>
      <c r="M21" s="147" t="s">
        <v>545</v>
      </c>
      <c r="N21" s="146" t="s">
        <v>855</v>
      </c>
      <c r="O21" s="74" t="s">
        <v>570</v>
      </c>
      <c r="P21" s="74"/>
      <c r="Q21" s="74"/>
      <c r="R21" s="74"/>
      <c r="S21" s="74"/>
      <c r="T21" s="74"/>
      <c r="U21" s="74"/>
      <c r="V21" s="74"/>
      <c r="W21" s="74"/>
      <c r="X21" s="74"/>
      <c r="Y21" s="74"/>
      <c r="Z21" s="74"/>
      <c r="AA21" s="74"/>
      <c r="AB21" s="74"/>
      <c r="AC21" s="74"/>
      <c r="AD21" s="175">
        <v>45905</v>
      </c>
      <c r="AE21" s="74"/>
      <c r="AF21" s="72" t="s">
        <v>482</v>
      </c>
      <c r="AG21" s="154" t="s">
        <v>876</v>
      </c>
      <c r="AH21" s="74"/>
      <c r="AI21" s="74"/>
      <c r="AJ21" s="173" t="s">
        <v>856</v>
      </c>
      <c r="AL21" s="66" t="e">
        <v>#VALUE!</v>
      </c>
      <c r="AM21" s="66" t="e">
        <v>#N/A</v>
      </c>
      <c r="AN21" s="66" t="e">
        <v>#VALUE!</v>
      </c>
      <c r="AO21" s="66" t="e">
        <v>#N/A</v>
      </c>
      <c r="AP21" s="66" t="e">
        <v>#VALUE!</v>
      </c>
      <c r="AQ21" s="66" t="e">
        <v>#VALUE!</v>
      </c>
      <c r="AR21" s="66" t="e">
        <v>#VALUE!</v>
      </c>
      <c r="AS21" s="66" t="e">
        <v>#VALUE!</v>
      </c>
      <c r="AT21" s="66" t="e">
        <v>#VALUE!</v>
      </c>
      <c r="AU21" s="66" t="e">
        <v>#N/A</v>
      </c>
      <c r="AV21" s="188">
        <v>18978</v>
      </c>
      <c r="AX21" s="66" t="b">
        <f>AV21=F21</f>
        <v>0</v>
      </c>
    </row>
    <row r="22" spans="1:50" ht="177" thickBot="1" x14ac:dyDescent="0.25">
      <c r="A22" s="66">
        <f>VLOOKUP(F22,$I$40:$I$69,1,0)</f>
        <v>18910</v>
      </c>
      <c r="B22" s="144">
        <v>17</v>
      </c>
      <c r="C22" s="119" t="s">
        <v>68</v>
      </c>
      <c r="D22" s="66" t="s">
        <v>34</v>
      </c>
      <c r="E22" s="149" t="s">
        <v>256</v>
      </c>
      <c r="F22" s="214">
        <v>18910</v>
      </c>
      <c r="G22" s="119" t="s">
        <v>262</v>
      </c>
      <c r="H22" s="135">
        <v>9500000000</v>
      </c>
      <c r="I22" s="150" t="s">
        <v>0</v>
      </c>
      <c r="J22" s="150" t="s">
        <v>365</v>
      </c>
      <c r="K22" s="149" t="s">
        <v>572</v>
      </c>
      <c r="L22" s="136">
        <v>9499999990</v>
      </c>
      <c r="M22" s="151" t="s">
        <v>545</v>
      </c>
      <c r="N22" s="150" t="s">
        <v>459</v>
      </c>
      <c r="O22" s="119" t="s">
        <v>573</v>
      </c>
      <c r="P22" s="119"/>
      <c r="Q22" s="119"/>
      <c r="R22" s="119"/>
      <c r="S22" s="119"/>
      <c r="T22" s="119"/>
      <c r="U22" s="119"/>
      <c r="V22" s="119"/>
      <c r="W22" s="119"/>
      <c r="X22" s="119"/>
      <c r="Y22" s="119"/>
      <c r="Z22" s="119"/>
      <c r="AA22" s="119"/>
      <c r="AB22" s="119"/>
      <c r="AC22" s="119"/>
      <c r="AD22" s="175">
        <v>45909</v>
      </c>
      <c r="AE22" s="119"/>
      <c r="AF22" s="88" t="s">
        <v>427</v>
      </c>
      <c r="AG22" s="155" t="s">
        <v>878</v>
      </c>
      <c r="AH22" s="119"/>
      <c r="AI22" s="119"/>
      <c r="AJ22" s="174" t="s">
        <v>877</v>
      </c>
      <c r="AL22" s="66" t="e">
        <v>#VALUE!</v>
      </c>
      <c r="AM22" s="66" t="e">
        <v>#N/A</v>
      </c>
      <c r="AN22" s="66" t="e">
        <v>#VALUE!</v>
      </c>
      <c r="AO22" s="66" t="e">
        <v>#N/A</v>
      </c>
      <c r="AP22" s="66" t="e">
        <v>#VALUE!</v>
      </c>
      <c r="AQ22" s="66" t="e">
        <v>#VALUE!</v>
      </c>
      <c r="AR22" s="66" t="e">
        <v>#N/A</v>
      </c>
      <c r="AS22" s="66" t="e">
        <v>#VALUE!</v>
      </c>
      <c r="AT22" s="66" t="e">
        <v>#VALUE!</v>
      </c>
      <c r="AU22" s="66" t="e">
        <v>#N/A</v>
      </c>
      <c r="AV22" s="188">
        <v>18984</v>
      </c>
      <c r="AX22" s="66" t="b">
        <f>AV22=F22</f>
        <v>0</v>
      </c>
    </row>
    <row r="23" spans="1:50" ht="177" thickBot="1" x14ac:dyDescent="0.25">
      <c r="A23" s="221"/>
      <c r="B23" s="144">
        <v>18</v>
      </c>
      <c r="C23" s="66" t="str">
        <f>VLOOKUP(I43,A40:L69,3,FALSE)</f>
        <v>DATIC</v>
      </c>
      <c r="D23" s="66" t="str">
        <f>VLOOKUP(I43,A40:M69,5,FALSE)</f>
        <v>Bancolombia</v>
      </c>
      <c r="E23" s="149" t="s">
        <v>256</v>
      </c>
      <c r="F23" s="209">
        <v>19009</v>
      </c>
      <c r="L23" s="183">
        <f>SUM(L6:L22)</f>
        <v>166698212533</v>
      </c>
      <c r="AL23" s="66" t="e">
        <v>#N/A</v>
      </c>
      <c r="AM23" s="66" t="e">
        <v>#N/A</v>
      </c>
      <c r="AN23" s="66" t="e">
        <v>#N/A</v>
      </c>
      <c r="AO23" s="66" t="e">
        <v>#N/A</v>
      </c>
      <c r="AP23" s="66" t="e">
        <v>#N/A</v>
      </c>
      <c r="AQ23" s="66" t="e">
        <v>#N/A</v>
      </c>
      <c r="AR23" s="66" t="e">
        <v>#N/A</v>
      </c>
      <c r="AS23" s="66" t="e">
        <v>#N/A</v>
      </c>
      <c r="AT23" s="66" t="e">
        <v>#N/A</v>
      </c>
      <c r="AU23" s="66" t="e">
        <v>#N/A</v>
      </c>
      <c r="AV23" s="188">
        <v>18472</v>
      </c>
      <c r="AX23" s="66" t="b">
        <f t="shared" ref="AX23:AX47" si="0">AV23=F23</f>
        <v>0</v>
      </c>
    </row>
    <row r="24" spans="1:50" x14ac:dyDescent="0.2">
      <c r="B24" s="144">
        <v>19</v>
      </c>
      <c r="C24" s="66" t="str">
        <f>VLOOKUP(I45,A40:L69,3,FALSE)</f>
        <v>DATIC</v>
      </c>
      <c r="D24" s="66" t="str">
        <f>VLOOKUP(I44,A41:M70,5,FALSE)</f>
        <v>Bancolombia</v>
      </c>
      <c r="F24" s="219"/>
      <c r="L24" s="183"/>
      <c r="AL24" s="66" t="e">
        <v>#N/A</v>
      </c>
      <c r="AM24" s="66" t="e">
        <v>#N/A</v>
      </c>
      <c r="AN24" s="66" t="e">
        <v>#N/A</v>
      </c>
      <c r="AO24" s="66" t="e">
        <v>#N/A</v>
      </c>
      <c r="AP24" s="66" t="e">
        <v>#N/A</v>
      </c>
      <c r="AQ24" s="66" t="e">
        <v>#N/A</v>
      </c>
      <c r="AR24" s="66" t="e">
        <v>#N/A</v>
      </c>
      <c r="AS24" s="66" t="e">
        <v>#N/A</v>
      </c>
      <c r="AT24" s="66" t="e">
        <v>#N/A</v>
      </c>
      <c r="AU24" s="66" t="e">
        <v>#N/A</v>
      </c>
      <c r="AV24" s="188"/>
    </row>
    <row r="25" spans="1:50" x14ac:dyDescent="0.2">
      <c r="B25" s="144">
        <v>20</v>
      </c>
      <c r="C25" s="66" t="str">
        <f>VLOOKUP(I46,A40:L69,3,FALSE)</f>
        <v>DATIC</v>
      </c>
      <c r="D25" s="66" t="str">
        <f>VLOOKUP(I45,A42:M71,5,FALSE)</f>
        <v>Bancolombia</v>
      </c>
      <c r="F25" s="219"/>
      <c r="L25" s="183"/>
      <c r="AL25" s="66" t="e">
        <v>#N/A</v>
      </c>
      <c r="AM25" s="66" t="e">
        <v>#N/A</v>
      </c>
      <c r="AN25" s="66" t="e">
        <v>#N/A</v>
      </c>
      <c r="AO25" s="66" t="e">
        <v>#N/A</v>
      </c>
      <c r="AP25" s="66" t="e">
        <v>#N/A</v>
      </c>
      <c r="AQ25" s="66" t="e">
        <v>#N/A</v>
      </c>
      <c r="AR25" s="66" t="e">
        <v>#N/A</v>
      </c>
      <c r="AS25" s="66" t="e">
        <v>#N/A</v>
      </c>
      <c r="AT25" s="66" t="e">
        <v>#N/A</v>
      </c>
      <c r="AU25" s="66" t="e">
        <v>#N/A</v>
      </c>
      <c r="AV25" s="188"/>
    </row>
    <row r="26" spans="1:50" x14ac:dyDescent="0.2">
      <c r="B26" s="144">
        <v>21</v>
      </c>
      <c r="C26" s="66" t="str">
        <f>VLOOKUP(I48,A40:L69,3,FALSE)</f>
        <v>DATIC</v>
      </c>
      <c r="D26" s="66" t="str">
        <f>VLOOKUP(I46,A43:M72,5,FALSE)</f>
        <v>Bancolombia</v>
      </c>
      <c r="F26" s="219"/>
      <c r="L26" s="183"/>
      <c r="AL26" s="66" t="e">
        <v>#N/A</v>
      </c>
      <c r="AM26" s="66" t="e">
        <v>#N/A</v>
      </c>
      <c r="AN26" s="66" t="e">
        <v>#N/A</v>
      </c>
      <c r="AO26" s="66" t="e">
        <v>#N/A</v>
      </c>
      <c r="AP26" s="66" t="e">
        <v>#N/A</v>
      </c>
      <c r="AQ26" s="66" t="e">
        <v>#N/A</v>
      </c>
      <c r="AR26" s="66" t="e">
        <v>#N/A</v>
      </c>
      <c r="AS26" s="66" t="e">
        <v>#N/A</v>
      </c>
      <c r="AT26" s="66" t="e">
        <v>#N/A</v>
      </c>
      <c r="AU26" s="66" t="e">
        <v>#N/A</v>
      </c>
      <c r="AV26" s="188"/>
    </row>
    <row r="27" spans="1:50" x14ac:dyDescent="0.2">
      <c r="B27" s="144">
        <v>22</v>
      </c>
      <c r="C27" s="66" t="str">
        <f>VLOOKUP(I49,A40:L69,3,FALSE)</f>
        <v>DATIC</v>
      </c>
      <c r="D27" s="66" t="str">
        <f>VLOOKUP(I47,A44:M73,5,FALSE)</f>
        <v>Bancolombia</v>
      </c>
      <c r="F27" s="219"/>
      <c r="L27" s="183"/>
      <c r="AL27" s="66" t="e">
        <v>#N/A</v>
      </c>
      <c r="AM27" s="66" t="e">
        <v>#N/A</v>
      </c>
      <c r="AN27" s="66" t="e">
        <v>#N/A</v>
      </c>
      <c r="AO27" s="66" t="e">
        <v>#N/A</v>
      </c>
      <c r="AP27" s="66" t="e">
        <v>#N/A</v>
      </c>
      <c r="AQ27" s="66" t="e">
        <v>#N/A</v>
      </c>
      <c r="AR27" s="66" t="e">
        <v>#N/A</v>
      </c>
      <c r="AS27" s="66" t="e">
        <v>#N/A</v>
      </c>
      <c r="AT27" s="66" t="e">
        <v>#N/A</v>
      </c>
      <c r="AU27" s="66" t="e">
        <v>#N/A</v>
      </c>
      <c r="AV27" s="188"/>
    </row>
    <row r="28" spans="1:50" x14ac:dyDescent="0.2">
      <c r="B28" s="144">
        <v>23</v>
      </c>
      <c r="C28" s="66" t="str">
        <f>VLOOKUP(I58,A40:L69,3,FALSE)</f>
        <v>Infraestructura</v>
      </c>
      <c r="D28" s="66" t="str">
        <f>VLOOKUP(I48,A45:M74,5,FALSE)</f>
        <v>Bancolombia</v>
      </c>
      <c r="F28" s="219"/>
      <c r="L28" s="183"/>
      <c r="AL28" s="66" t="e">
        <v>#N/A</v>
      </c>
      <c r="AM28" s="66" t="e">
        <v>#N/A</v>
      </c>
      <c r="AN28" s="66" t="e">
        <v>#N/A</v>
      </c>
      <c r="AO28" s="66" t="e">
        <v>#N/A</v>
      </c>
      <c r="AP28" s="66" t="e">
        <v>#N/A</v>
      </c>
      <c r="AQ28" s="66" t="e">
        <v>#N/A</v>
      </c>
      <c r="AR28" s="66" t="e">
        <v>#N/A</v>
      </c>
      <c r="AS28" s="66" t="e">
        <v>#N/A</v>
      </c>
      <c r="AT28" s="66" t="e">
        <v>#N/A</v>
      </c>
      <c r="AU28" s="66" t="e">
        <v>#N/A</v>
      </c>
      <c r="AV28" s="188"/>
    </row>
    <row r="29" spans="1:50" x14ac:dyDescent="0.2">
      <c r="B29" s="144">
        <v>24</v>
      </c>
      <c r="C29" s="66" t="str">
        <f>VLOOKUP(I61,A40:L69,3,FALSE)</f>
        <v>Infraestructura</v>
      </c>
      <c r="D29" s="66" t="str">
        <f>VLOOKUP(I49,A46:M75,5,FALSE)</f>
        <v>DAVIVIENDA</v>
      </c>
      <c r="F29" s="219"/>
      <c r="L29" s="183"/>
      <c r="AL29" s="66" t="e">
        <v>#N/A</v>
      </c>
      <c r="AM29" s="66" t="e">
        <v>#N/A</v>
      </c>
      <c r="AN29" s="66" t="e">
        <v>#N/A</v>
      </c>
      <c r="AO29" s="66" t="e">
        <v>#N/A</v>
      </c>
      <c r="AP29" s="66" t="e">
        <v>#N/A</v>
      </c>
      <c r="AQ29" s="66" t="e">
        <v>#N/A</v>
      </c>
      <c r="AR29" s="66" t="e">
        <v>#N/A</v>
      </c>
      <c r="AS29" s="66" t="e">
        <v>#N/A</v>
      </c>
      <c r="AT29" s="66" t="e">
        <v>#N/A</v>
      </c>
      <c r="AU29" s="66" t="e">
        <v>#N/A</v>
      </c>
      <c r="AV29" s="188"/>
    </row>
    <row r="30" spans="1:50" x14ac:dyDescent="0.2">
      <c r="B30" s="144">
        <v>25</v>
      </c>
      <c r="C30" s="66" t="str">
        <f>VLOOKUP(I65,A39:L68,3,FALSE)</f>
        <v>Participación</v>
      </c>
      <c r="D30" s="66" t="str">
        <f>VLOOKUP(I49,A46:M75,5,FALSE)</f>
        <v>DAVIVIENDA</v>
      </c>
      <c r="F30" s="219"/>
      <c r="L30" s="183"/>
      <c r="AL30" s="66" t="e">
        <v>#N/A</v>
      </c>
      <c r="AM30" s="66" t="e">
        <v>#N/A</v>
      </c>
      <c r="AN30" s="66" t="e">
        <v>#N/A</v>
      </c>
      <c r="AO30" s="66" t="e">
        <v>#N/A</v>
      </c>
      <c r="AP30" s="66" t="e">
        <v>#N/A</v>
      </c>
      <c r="AQ30" s="66" t="e">
        <v>#N/A</v>
      </c>
      <c r="AR30" s="66" t="e">
        <v>#N/A</v>
      </c>
      <c r="AS30" s="66" t="e">
        <v>#N/A</v>
      </c>
      <c r="AT30" s="66" t="e">
        <v>#N/A</v>
      </c>
      <c r="AU30" s="66" t="e">
        <v>#N/A</v>
      </c>
      <c r="AV30" s="188"/>
    </row>
    <row r="31" spans="1:50" x14ac:dyDescent="0.2">
      <c r="B31" s="144">
        <v>26</v>
      </c>
      <c r="C31" s="66" t="str">
        <f>VLOOKUP(I66,A40:L69,3,FALSE)</f>
        <v>Participación</v>
      </c>
      <c r="D31" s="66" t="str">
        <f>VLOOKUP(I50,A47:M76,5,FALSE)</f>
        <v>Bancolombia</v>
      </c>
      <c r="F31" s="219"/>
      <c r="L31" s="183"/>
      <c r="AL31" s="66" t="e">
        <v>#N/A</v>
      </c>
      <c r="AM31" s="66" t="e">
        <v>#N/A</v>
      </c>
      <c r="AN31" s="66" t="e">
        <v>#N/A</v>
      </c>
      <c r="AO31" s="66" t="e">
        <v>#N/A</v>
      </c>
      <c r="AP31" s="66" t="e">
        <v>#N/A</v>
      </c>
      <c r="AQ31" s="66" t="e">
        <v>#N/A</v>
      </c>
      <c r="AR31" s="66" t="e">
        <v>#N/A</v>
      </c>
      <c r="AS31" s="66" t="e">
        <v>#N/A</v>
      </c>
      <c r="AT31" s="66" t="e">
        <v>#N/A</v>
      </c>
      <c r="AU31" s="66" t="e">
        <v>#N/A</v>
      </c>
      <c r="AV31" s="188"/>
    </row>
    <row r="32" spans="1:50" x14ac:dyDescent="0.2">
      <c r="B32" s="144">
        <v>27</v>
      </c>
      <c r="C32" s="66" t="str">
        <f>VLOOKUP(I67,A40:L69,3,FALSE)</f>
        <v>Vivienda</v>
      </c>
      <c r="D32" s="66" t="str">
        <f t="shared" ref="D31:D35" si="1">VLOOKUP(I51,A48:M77,5,FALSE)</f>
        <v>Bancolombia</v>
      </c>
      <c r="F32" s="219"/>
      <c r="L32" s="183"/>
      <c r="AL32" s="66" t="e">
        <v>#N/A</v>
      </c>
      <c r="AM32" s="66" t="e">
        <v>#N/A</v>
      </c>
      <c r="AN32" s="66" t="e">
        <v>#N/A</v>
      </c>
      <c r="AO32" s="66" t="e">
        <v>#N/A</v>
      </c>
      <c r="AP32" s="66" t="e">
        <v>#N/A</v>
      </c>
      <c r="AQ32" s="66" t="e">
        <v>#N/A</v>
      </c>
      <c r="AR32" s="66" t="e">
        <v>#N/A</v>
      </c>
      <c r="AS32" s="66" t="e">
        <v>#N/A</v>
      </c>
      <c r="AT32" s="66" t="e">
        <v>#N/A</v>
      </c>
      <c r="AU32" s="66" t="e">
        <v>#N/A</v>
      </c>
      <c r="AV32" s="188"/>
    </row>
    <row r="33" spans="1:50" x14ac:dyDescent="0.2">
      <c r="B33" s="144">
        <v>28</v>
      </c>
      <c r="C33" s="66" t="str">
        <f>VLOOKUP(I52,A49:L78,3,FALSE)</f>
        <v>Deportes</v>
      </c>
      <c r="D33" s="66" t="str">
        <f t="shared" si="1"/>
        <v>Bancolombia</v>
      </c>
      <c r="F33" s="219"/>
      <c r="L33" s="183"/>
      <c r="AL33" s="66" t="e">
        <v>#N/A</v>
      </c>
      <c r="AM33" s="66" t="e">
        <v>#N/A</v>
      </c>
      <c r="AN33" s="66" t="e">
        <v>#N/A</v>
      </c>
      <c r="AO33" s="66" t="e">
        <v>#N/A</v>
      </c>
      <c r="AP33" s="66" t="e">
        <v>#N/A</v>
      </c>
      <c r="AQ33" s="66" t="e">
        <v>#N/A</v>
      </c>
      <c r="AR33" s="66" t="e">
        <v>#N/A</v>
      </c>
      <c r="AS33" s="66" t="e">
        <v>#N/A</v>
      </c>
      <c r="AT33" s="66" t="e">
        <v>#N/A</v>
      </c>
      <c r="AU33" s="66" t="e">
        <v>#N/A</v>
      </c>
      <c r="AV33" s="188"/>
    </row>
    <row r="34" spans="1:50" x14ac:dyDescent="0.2">
      <c r="B34" s="144">
        <v>29</v>
      </c>
      <c r="C34" s="66" t="str">
        <f>VLOOKUP(I68,A40:L69,3,FALSE)</f>
        <v>Vivienda</v>
      </c>
      <c r="D34" s="66" t="str">
        <f t="shared" si="1"/>
        <v>Bancolombia</v>
      </c>
      <c r="AL34" s="66" t="e">
        <v>#N/A</v>
      </c>
      <c r="AM34" s="66" t="e">
        <v>#N/A</v>
      </c>
      <c r="AN34" s="66" t="e">
        <v>#N/A</v>
      </c>
      <c r="AO34" s="66" t="e">
        <v>#N/A</v>
      </c>
      <c r="AP34" s="66" t="e">
        <v>#N/A</v>
      </c>
      <c r="AQ34" s="66" t="e">
        <v>#N/A</v>
      </c>
      <c r="AR34" s="66" t="e">
        <v>#N/A</v>
      </c>
      <c r="AS34" s="66" t="e">
        <v>#N/A</v>
      </c>
      <c r="AT34" s="66" t="e">
        <v>#N/A</v>
      </c>
      <c r="AU34" s="66" t="e">
        <v>#N/A</v>
      </c>
      <c r="AV34" s="188">
        <v>18978</v>
      </c>
      <c r="AX34" s="66" t="b">
        <f t="shared" si="0"/>
        <v>0</v>
      </c>
    </row>
    <row r="35" spans="1:50" x14ac:dyDescent="0.2">
      <c r="B35" s="144">
        <v>30</v>
      </c>
      <c r="C35" s="66" t="str">
        <f>VLOOKUP(I54,A51:L80,3,FALSE)</f>
        <v>Educación</v>
      </c>
      <c r="D35" s="66" t="str">
        <f t="shared" si="1"/>
        <v>Bancolombia</v>
      </c>
      <c r="AL35" s="66" t="e">
        <v>#N/A</v>
      </c>
      <c r="AM35" s="66" t="e">
        <v>#N/A</v>
      </c>
      <c r="AN35" s="66" t="e">
        <v>#N/A</v>
      </c>
      <c r="AO35" s="66" t="e">
        <v>#N/A</v>
      </c>
      <c r="AP35" s="66" t="e">
        <v>#N/A</v>
      </c>
      <c r="AQ35" s="66" t="e">
        <v>#N/A</v>
      </c>
      <c r="AR35" s="66" t="e">
        <v>#N/A</v>
      </c>
      <c r="AS35" s="66" t="e">
        <v>#N/A</v>
      </c>
      <c r="AT35" s="66" t="e">
        <v>#N/A</v>
      </c>
      <c r="AU35" s="66" t="e">
        <v>#N/A</v>
      </c>
      <c r="AV35" s="188">
        <v>19194</v>
      </c>
      <c r="AX35" s="66" t="b">
        <f t="shared" si="0"/>
        <v>0</v>
      </c>
    </row>
    <row r="36" spans="1:50" x14ac:dyDescent="0.2">
      <c r="B36" s="144">
        <v>31</v>
      </c>
      <c r="C36" s="66" t="s">
        <v>68</v>
      </c>
      <c r="D36" s="66" t="s">
        <v>75</v>
      </c>
      <c r="AL36" s="66" t="e">
        <v>#N/A</v>
      </c>
      <c r="AM36" s="66" t="e">
        <v>#N/A</v>
      </c>
      <c r="AN36" s="66" t="e">
        <v>#N/A</v>
      </c>
      <c r="AO36" s="66" t="e">
        <v>#N/A</v>
      </c>
      <c r="AP36" s="66" t="e">
        <v>#N/A</v>
      </c>
      <c r="AQ36" s="66" t="e">
        <v>#N/A</v>
      </c>
      <c r="AR36" s="66" t="e">
        <v>#N/A</v>
      </c>
      <c r="AS36" s="66" t="e">
        <v>#N/A</v>
      </c>
      <c r="AT36" s="66" t="e">
        <v>#N/A</v>
      </c>
      <c r="AU36" s="66" t="e">
        <v>#N/A</v>
      </c>
      <c r="AV36" s="188"/>
    </row>
    <row r="37" spans="1:50" x14ac:dyDescent="0.2">
      <c r="B37" s="144">
        <v>32</v>
      </c>
      <c r="C37" s="66" t="s">
        <v>81</v>
      </c>
      <c r="D37" s="66" t="s">
        <v>75</v>
      </c>
      <c r="AL37" s="66" t="e">
        <v>#N/A</v>
      </c>
      <c r="AM37" s="66" t="e">
        <v>#N/A</v>
      </c>
      <c r="AN37" s="66" t="e">
        <v>#N/A</v>
      </c>
      <c r="AO37" s="66" t="e">
        <v>#N/A</v>
      </c>
      <c r="AP37" s="66" t="e">
        <v>#N/A</v>
      </c>
      <c r="AQ37" s="66" t="e">
        <v>#N/A</v>
      </c>
      <c r="AR37" s="66" t="e">
        <v>#N/A</v>
      </c>
      <c r="AS37" s="66" t="e">
        <v>#N/A</v>
      </c>
      <c r="AT37" s="66" t="e">
        <v>#N/A</v>
      </c>
      <c r="AU37" s="66" t="e">
        <v>#N/A</v>
      </c>
      <c r="AV37" s="188"/>
    </row>
    <row r="38" spans="1:50" x14ac:dyDescent="0.2">
      <c r="B38" s="144"/>
      <c r="AV38" s="188">
        <v>19143</v>
      </c>
      <c r="AX38" s="66" t="b">
        <f t="shared" si="0"/>
        <v>0</v>
      </c>
    </row>
    <row r="39" spans="1:50" x14ac:dyDescent="0.15">
      <c r="C39" s="184" t="s">
        <v>35</v>
      </c>
      <c r="D39" s="184"/>
      <c r="E39" s="185" t="s">
        <v>0</v>
      </c>
      <c r="F39" s="184" t="s">
        <v>36</v>
      </c>
      <c r="G39" s="184" t="s">
        <v>38</v>
      </c>
      <c r="H39" s="184" t="s">
        <v>39</v>
      </c>
      <c r="I39" s="184" t="s">
        <v>40</v>
      </c>
      <c r="J39" s="186" t="s">
        <v>892</v>
      </c>
      <c r="K39" s="187" t="s">
        <v>893</v>
      </c>
      <c r="L39" s="184" t="s">
        <v>41</v>
      </c>
      <c r="AV39" s="188">
        <v>19143</v>
      </c>
      <c r="AX39" s="66" t="b">
        <f t="shared" si="0"/>
        <v>0</v>
      </c>
    </row>
    <row r="40" spans="1:50" x14ac:dyDescent="0.15">
      <c r="A40" s="209">
        <v>18889</v>
      </c>
      <c r="B40" s="75">
        <v>1</v>
      </c>
      <c r="C40" s="188" t="s">
        <v>42</v>
      </c>
      <c r="D40" s="217"/>
      <c r="E40" s="189" t="s">
        <v>34</v>
      </c>
      <c r="F40" s="59">
        <v>26005340</v>
      </c>
      <c r="G40" s="190" t="s">
        <v>44</v>
      </c>
      <c r="H40" s="51" t="s">
        <v>45</v>
      </c>
      <c r="I40" s="209">
        <v>18889</v>
      </c>
      <c r="J40" s="191" t="s">
        <v>202</v>
      </c>
      <c r="K40" s="51" t="s">
        <v>482</v>
      </c>
      <c r="L40" s="48">
        <v>5757381578</v>
      </c>
      <c r="M40" s="66">
        <f>VLOOKUP(I40,$F$6:$F$22,1,0)</f>
        <v>18889</v>
      </c>
      <c r="AV40" s="188">
        <v>18986</v>
      </c>
      <c r="AX40" s="66" t="b">
        <f t="shared" si="0"/>
        <v>0</v>
      </c>
    </row>
    <row r="41" spans="1:50" x14ac:dyDescent="0.15">
      <c r="A41" s="209">
        <v>18890</v>
      </c>
      <c r="B41" s="75">
        <v>2</v>
      </c>
      <c r="C41" s="188" t="s">
        <v>42</v>
      </c>
      <c r="D41" s="218"/>
      <c r="E41" s="192" t="s">
        <v>34</v>
      </c>
      <c r="F41" s="60">
        <v>26005340</v>
      </c>
      <c r="G41" s="190" t="s">
        <v>46</v>
      </c>
      <c r="H41" s="51" t="s">
        <v>47</v>
      </c>
      <c r="I41" s="209">
        <v>18890</v>
      </c>
      <c r="J41" s="191" t="s">
        <v>187</v>
      </c>
      <c r="K41" s="51" t="s">
        <v>426</v>
      </c>
      <c r="L41" s="48">
        <v>599955458</v>
      </c>
      <c r="M41" s="66">
        <f t="shared" ref="M41:M69" si="2">VLOOKUP(I41,$F$6:$F$22,1,0)</f>
        <v>18890</v>
      </c>
      <c r="AV41" s="188">
        <v>18970</v>
      </c>
      <c r="AX41" s="66" t="b">
        <f t="shared" si="0"/>
        <v>0</v>
      </c>
    </row>
    <row r="42" spans="1:50" x14ac:dyDescent="0.15">
      <c r="A42" s="209">
        <v>18918</v>
      </c>
      <c r="B42" s="75">
        <v>3</v>
      </c>
      <c r="C42" s="188" t="s">
        <v>49</v>
      </c>
      <c r="D42" s="218"/>
      <c r="E42" s="192" t="s">
        <v>34</v>
      </c>
      <c r="F42" s="59">
        <v>26005260</v>
      </c>
      <c r="G42" s="190" t="s">
        <v>51</v>
      </c>
      <c r="H42" s="51" t="s">
        <v>52</v>
      </c>
      <c r="I42" s="209">
        <v>18918</v>
      </c>
      <c r="J42" s="191" t="s">
        <v>230</v>
      </c>
      <c r="K42" s="51" t="s">
        <v>427</v>
      </c>
      <c r="L42" s="48">
        <v>15661471447</v>
      </c>
      <c r="M42" s="66">
        <f t="shared" si="2"/>
        <v>18918</v>
      </c>
      <c r="AV42" s="188">
        <v>18989</v>
      </c>
      <c r="AX42" s="66" t="b">
        <f t="shared" si="0"/>
        <v>0</v>
      </c>
    </row>
    <row r="43" spans="1:50" ht="16" x14ac:dyDescent="0.2">
      <c r="A43" s="209">
        <v>19009</v>
      </c>
      <c r="B43" s="75">
        <v>4</v>
      </c>
      <c r="C43" s="188" t="s">
        <v>49</v>
      </c>
      <c r="D43" s="218"/>
      <c r="E43" s="192" t="s">
        <v>34</v>
      </c>
      <c r="F43" s="60">
        <v>26005260</v>
      </c>
      <c r="G43" s="190" t="s">
        <v>894</v>
      </c>
      <c r="H43" s="210" t="s">
        <v>47</v>
      </c>
      <c r="I43" s="209">
        <v>19009</v>
      </c>
      <c r="J43" s="220" t="s">
        <v>895</v>
      </c>
      <c r="K43" s="51" t="s">
        <v>896</v>
      </c>
      <c r="L43" s="48">
        <v>824287971</v>
      </c>
      <c r="M43" s="66" t="e">
        <f t="shared" si="2"/>
        <v>#N/A</v>
      </c>
      <c r="AV43" s="188">
        <v>19383</v>
      </c>
      <c r="AX43" s="66" t="b">
        <f t="shared" si="0"/>
        <v>0</v>
      </c>
    </row>
    <row r="44" spans="1:50" x14ac:dyDescent="0.15">
      <c r="A44" s="209">
        <v>18946</v>
      </c>
      <c r="B44" s="75">
        <v>5</v>
      </c>
      <c r="C44" s="188" t="s">
        <v>49</v>
      </c>
      <c r="D44" s="218"/>
      <c r="E44" s="192" t="s">
        <v>34</v>
      </c>
      <c r="F44" s="60">
        <v>26005260</v>
      </c>
      <c r="G44" s="190" t="s">
        <v>56</v>
      </c>
      <c r="H44" s="51" t="s">
        <v>57</v>
      </c>
      <c r="I44" s="209">
        <v>18946</v>
      </c>
      <c r="J44" s="191" t="s">
        <v>212</v>
      </c>
      <c r="K44" s="51" t="s">
        <v>431</v>
      </c>
      <c r="L44" s="48">
        <v>500000000</v>
      </c>
      <c r="M44" s="66">
        <f t="shared" si="2"/>
        <v>18946</v>
      </c>
      <c r="AV44" s="188">
        <v>19384</v>
      </c>
      <c r="AX44" s="66" t="b">
        <f t="shared" si="0"/>
        <v>0</v>
      </c>
    </row>
    <row r="45" spans="1:50" ht="16" x14ac:dyDescent="0.2">
      <c r="A45" s="188">
        <v>18928</v>
      </c>
      <c r="B45" s="75">
        <v>6</v>
      </c>
      <c r="C45" s="188" t="s">
        <v>49</v>
      </c>
      <c r="D45" s="218"/>
      <c r="E45" s="192" t="s">
        <v>34</v>
      </c>
      <c r="F45" s="60">
        <v>26005260</v>
      </c>
      <c r="G45" s="190" t="s">
        <v>897</v>
      </c>
      <c r="H45" s="210" t="s">
        <v>52</v>
      </c>
      <c r="I45" s="188">
        <v>18928</v>
      </c>
      <c r="J45" s="220" t="s">
        <v>898</v>
      </c>
      <c r="K45" s="51" t="s">
        <v>896</v>
      </c>
      <c r="L45" s="48">
        <v>6720000000</v>
      </c>
      <c r="M45" s="66" t="e">
        <f t="shared" si="2"/>
        <v>#N/A</v>
      </c>
      <c r="AV45" s="188">
        <v>19030</v>
      </c>
      <c r="AX45" s="66" t="b">
        <f t="shared" si="0"/>
        <v>0</v>
      </c>
    </row>
    <row r="46" spans="1:50" x14ac:dyDescent="0.15">
      <c r="A46" s="188">
        <v>18930</v>
      </c>
      <c r="B46" s="75">
        <v>7</v>
      </c>
      <c r="C46" s="188" t="s">
        <v>49</v>
      </c>
      <c r="D46" s="218"/>
      <c r="E46" s="192" t="s">
        <v>34</v>
      </c>
      <c r="F46" s="60">
        <v>26005260</v>
      </c>
      <c r="G46" s="190" t="s">
        <v>899</v>
      </c>
      <c r="H46" s="210" t="s">
        <v>52</v>
      </c>
      <c r="I46" s="188">
        <v>18930</v>
      </c>
      <c r="J46" s="191" t="s">
        <v>900</v>
      </c>
      <c r="K46" s="51" t="s">
        <v>896</v>
      </c>
      <c r="L46" s="48">
        <v>2897500000</v>
      </c>
      <c r="M46" s="66" t="e">
        <f t="shared" si="2"/>
        <v>#N/A</v>
      </c>
      <c r="AV46" s="188">
        <v>19032</v>
      </c>
      <c r="AX46" s="66" t="b">
        <f t="shared" si="0"/>
        <v>0</v>
      </c>
    </row>
    <row r="47" spans="1:50" x14ac:dyDescent="0.15">
      <c r="A47" s="213">
        <v>18933</v>
      </c>
      <c r="B47" s="75">
        <v>8</v>
      </c>
      <c r="C47" s="188" t="s">
        <v>49</v>
      </c>
      <c r="D47" s="218"/>
      <c r="E47" s="192" t="s">
        <v>34</v>
      </c>
      <c r="F47" s="60">
        <v>26005260</v>
      </c>
      <c r="G47" s="190" t="s">
        <v>59</v>
      </c>
      <c r="H47" s="51" t="s">
        <v>60</v>
      </c>
      <c r="I47" s="213">
        <v>18933</v>
      </c>
      <c r="J47" s="191" t="s">
        <v>219</v>
      </c>
      <c r="K47" s="51" t="s">
        <v>431</v>
      </c>
      <c r="L47" s="48">
        <v>260000000</v>
      </c>
      <c r="M47" s="66">
        <f t="shared" si="2"/>
        <v>18933</v>
      </c>
      <c r="AV47" s="188" t="s">
        <v>75</v>
      </c>
      <c r="AX47" s="66" t="b">
        <f t="shared" si="0"/>
        <v>0</v>
      </c>
    </row>
    <row r="48" spans="1:50" x14ac:dyDescent="0.15">
      <c r="A48" s="188">
        <v>18926</v>
      </c>
      <c r="B48" s="75">
        <v>9</v>
      </c>
      <c r="C48" s="188" t="s">
        <v>49</v>
      </c>
      <c r="D48" s="218"/>
      <c r="E48" s="192" t="s">
        <v>34</v>
      </c>
      <c r="F48" s="60">
        <v>26005395</v>
      </c>
      <c r="G48" s="190" t="s">
        <v>901</v>
      </c>
      <c r="H48" s="210" t="s">
        <v>902</v>
      </c>
      <c r="I48" s="188">
        <v>18926</v>
      </c>
      <c r="J48" s="191" t="s">
        <v>903</v>
      </c>
      <c r="K48" s="51" t="s">
        <v>896</v>
      </c>
      <c r="L48" s="48">
        <v>3277125000</v>
      </c>
      <c r="M48" s="66" t="e">
        <f t="shared" si="2"/>
        <v>#N/A</v>
      </c>
    </row>
    <row r="49" spans="1:13" x14ac:dyDescent="0.15">
      <c r="A49" s="188">
        <v>19009</v>
      </c>
      <c r="B49" s="75">
        <v>10</v>
      </c>
      <c r="C49" s="188" t="s">
        <v>49</v>
      </c>
      <c r="D49" s="218"/>
      <c r="E49" s="192" t="s">
        <v>904</v>
      </c>
      <c r="F49" s="58">
        <v>26005255</v>
      </c>
      <c r="G49" s="190" t="s">
        <v>905</v>
      </c>
      <c r="H49" s="210" t="s">
        <v>52</v>
      </c>
      <c r="I49" s="188">
        <v>19009</v>
      </c>
      <c r="J49" s="191" t="s">
        <v>895</v>
      </c>
      <c r="K49" s="51" t="s">
        <v>896</v>
      </c>
      <c r="L49" s="48">
        <v>641642500</v>
      </c>
      <c r="M49" s="66" t="e">
        <f t="shared" si="2"/>
        <v>#N/A</v>
      </c>
    </row>
    <row r="50" spans="1:13" x14ac:dyDescent="0.15">
      <c r="A50" s="213">
        <v>18996</v>
      </c>
      <c r="B50" s="75">
        <v>11</v>
      </c>
      <c r="C50" s="188" t="s">
        <v>62</v>
      </c>
      <c r="D50" s="218"/>
      <c r="E50" s="192" t="s">
        <v>34</v>
      </c>
      <c r="F50" s="59">
        <v>26005399</v>
      </c>
      <c r="G50" s="190" t="s">
        <v>64</v>
      </c>
      <c r="H50" s="51" t="s">
        <v>45</v>
      </c>
      <c r="I50" s="213">
        <v>18996</v>
      </c>
      <c r="J50" s="191" t="s">
        <v>252</v>
      </c>
      <c r="K50" s="51" t="s">
        <v>482</v>
      </c>
      <c r="L50" s="48">
        <v>5045473784</v>
      </c>
      <c r="M50" s="66">
        <f t="shared" si="2"/>
        <v>18996</v>
      </c>
    </row>
    <row r="51" spans="1:13" x14ac:dyDescent="0.15">
      <c r="A51" s="213">
        <v>18998</v>
      </c>
      <c r="B51" s="75">
        <v>12</v>
      </c>
      <c r="C51" s="188" t="s">
        <v>62</v>
      </c>
      <c r="D51" s="218"/>
      <c r="E51" s="192" t="s">
        <v>34</v>
      </c>
      <c r="F51" s="60">
        <v>26005399</v>
      </c>
      <c r="G51" s="190" t="s">
        <v>66</v>
      </c>
      <c r="H51" s="51" t="s">
        <v>47</v>
      </c>
      <c r="I51" s="213">
        <v>18998</v>
      </c>
      <c r="J51" s="191" t="s">
        <v>246</v>
      </c>
      <c r="K51" s="51" t="s">
        <v>428</v>
      </c>
      <c r="L51" s="48">
        <v>403637903</v>
      </c>
      <c r="M51" s="66">
        <f t="shared" si="2"/>
        <v>18998</v>
      </c>
    </row>
    <row r="52" spans="1:13" x14ac:dyDescent="0.15">
      <c r="A52" s="213">
        <v>19000</v>
      </c>
      <c r="B52" s="75">
        <v>13</v>
      </c>
      <c r="C52" s="188" t="s">
        <v>62</v>
      </c>
      <c r="D52" s="218"/>
      <c r="E52" s="192" t="s">
        <v>34</v>
      </c>
      <c r="F52" s="60">
        <v>26005399</v>
      </c>
      <c r="G52" s="190" t="s">
        <v>67</v>
      </c>
      <c r="H52" s="51" t="s">
        <v>45</v>
      </c>
      <c r="I52" s="213">
        <v>19000</v>
      </c>
      <c r="J52" s="191" t="s">
        <v>238</v>
      </c>
      <c r="K52" s="51" t="s">
        <v>426</v>
      </c>
      <c r="L52" s="48">
        <v>11621192881</v>
      </c>
      <c r="M52" s="66">
        <f t="shared" si="2"/>
        <v>19000</v>
      </c>
    </row>
    <row r="53" spans="1:13" x14ac:dyDescent="0.15">
      <c r="A53" s="213">
        <v>18910</v>
      </c>
      <c r="B53" s="75">
        <v>14</v>
      </c>
      <c r="C53" s="188" t="s">
        <v>68</v>
      </c>
      <c r="D53" s="218"/>
      <c r="E53" s="192" t="s">
        <v>34</v>
      </c>
      <c r="F53" s="193">
        <v>26004701</v>
      </c>
      <c r="G53" s="190" t="s">
        <v>70</v>
      </c>
      <c r="H53" s="51" t="s">
        <v>45</v>
      </c>
      <c r="I53" s="213">
        <v>18910</v>
      </c>
      <c r="J53" s="191" t="s">
        <v>262</v>
      </c>
      <c r="K53" s="51" t="s">
        <v>427</v>
      </c>
      <c r="L53" s="48">
        <v>9500000000</v>
      </c>
      <c r="M53" s="66">
        <f t="shared" si="2"/>
        <v>18910</v>
      </c>
    </row>
    <row r="54" spans="1:13" x14ac:dyDescent="0.15">
      <c r="A54" s="188" t="s">
        <v>75</v>
      </c>
      <c r="B54" s="75">
        <v>15</v>
      </c>
      <c r="C54" s="188" t="s">
        <v>68</v>
      </c>
      <c r="D54" s="218"/>
      <c r="E54" s="192" t="s">
        <v>34</v>
      </c>
      <c r="F54" s="58">
        <v>26005788</v>
      </c>
      <c r="G54" s="190" t="s">
        <v>73</v>
      </c>
      <c r="H54" s="51" t="s">
        <v>74</v>
      </c>
      <c r="I54" s="188" t="s">
        <v>75</v>
      </c>
      <c r="J54" s="191" t="s">
        <v>74</v>
      </c>
      <c r="K54" s="51" t="s">
        <v>896</v>
      </c>
      <c r="L54" s="48">
        <v>5000000000</v>
      </c>
      <c r="M54" s="66" t="e">
        <f t="shared" si="2"/>
        <v>#N/A</v>
      </c>
    </row>
    <row r="55" spans="1:13" x14ac:dyDescent="0.15">
      <c r="A55" s="213">
        <v>18978</v>
      </c>
      <c r="B55" s="75">
        <v>16</v>
      </c>
      <c r="C55" s="188" t="s">
        <v>76</v>
      </c>
      <c r="D55" s="218"/>
      <c r="E55" s="192" t="s">
        <v>34</v>
      </c>
      <c r="F55" s="59">
        <v>26005375</v>
      </c>
      <c r="G55" s="190" t="s">
        <v>78</v>
      </c>
      <c r="H55" s="51" t="s">
        <v>45</v>
      </c>
      <c r="I55" s="213">
        <v>18978</v>
      </c>
      <c r="J55" s="215" t="s">
        <v>312</v>
      </c>
      <c r="K55" s="51" t="s">
        <v>428</v>
      </c>
      <c r="L55" s="48">
        <v>32675081455</v>
      </c>
      <c r="M55" s="66">
        <f t="shared" si="2"/>
        <v>18978</v>
      </c>
    </row>
    <row r="56" spans="1:13" x14ac:dyDescent="0.15">
      <c r="A56" s="213">
        <v>18984</v>
      </c>
      <c r="B56" s="75">
        <v>17</v>
      </c>
      <c r="C56" s="188" t="s">
        <v>76</v>
      </c>
      <c r="D56" s="218"/>
      <c r="E56" s="192" t="s">
        <v>34</v>
      </c>
      <c r="F56" s="60">
        <v>26005375</v>
      </c>
      <c r="G56" s="190" t="s">
        <v>80</v>
      </c>
      <c r="H56" s="51" t="s">
        <v>47</v>
      </c>
      <c r="I56" s="213">
        <v>18984</v>
      </c>
      <c r="J56" s="191" t="s">
        <v>304</v>
      </c>
      <c r="K56" s="51" t="s">
        <v>482</v>
      </c>
      <c r="L56" s="48">
        <v>3300000000</v>
      </c>
      <c r="M56" s="66">
        <f t="shared" si="2"/>
        <v>18984</v>
      </c>
    </row>
    <row r="57" spans="1:13" x14ac:dyDescent="0.15">
      <c r="A57" s="213">
        <v>18472</v>
      </c>
      <c r="B57" s="75">
        <v>18</v>
      </c>
      <c r="C57" s="188" t="s">
        <v>76</v>
      </c>
      <c r="D57" s="218"/>
      <c r="E57" s="192" t="s">
        <v>34</v>
      </c>
      <c r="F57" s="60">
        <v>26005375</v>
      </c>
      <c r="G57" s="190" t="s">
        <v>82</v>
      </c>
      <c r="H57" s="51" t="s">
        <v>45</v>
      </c>
      <c r="I57" s="213">
        <v>18472</v>
      </c>
      <c r="J57" s="191" t="s">
        <v>318</v>
      </c>
      <c r="K57" s="51" t="s">
        <v>428</v>
      </c>
      <c r="L57" s="48">
        <v>3308621583</v>
      </c>
      <c r="M57" s="66">
        <f t="shared" si="2"/>
        <v>18472</v>
      </c>
    </row>
    <row r="58" spans="1:13" x14ac:dyDescent="0.15">
      <c r="A58" s="188">
        <v>18978</v>
      </c>
      <c r="B58" s="75">
        <v>19</v>
      </c>
      <c r="C58" s="188" t="s">
        <v>76</v>
      </c>
      <c r="D58" s="218"/>
      <c r="E58" s="192" t="s">
        <v>34</v>
      </c>
      <c r="F58" s="60">
        <v>26005375</v>
      </c>
      <c r="G58" s="190" t="s">
        <v>83</v>
      </c>
      <c r="H58" s="210" t="s">
        <v>84</v>
      </c>
      <c r="I58" s="188">
        <v>18978</v>
      </c>
      <c r="J58" s="191" t="s">
        <v>312</v>
      </c>
      <c r="K58" s="51" t="s">
        <v>428</v>
      </c>
      <c r="L58" s="48">
        <v>552530162</v>
      </c>
      <c r="M58" s="66">
        <f t="shared" si="2"/>
        <v>18978</v>
      </c>
    </row>
    <row r="59" spans="1:13" x14ac:dyDescent="0.15">
      <c r="A59" s="213">
        <v>19194</v>
      </c>
      <c r="B59" s="75">
        <v>20</v>
      </c>
      <c r="C59" s="188" t="s">
        <v>76</v>
      </c>
      <c r="D59" s="218"/>
      <c r="E59" s="192" t="s">
        <v>34</v>
      </c>
      <c r="F59" s="60">
        <v>26005375</v>
      </c>
      <c r="G59" s="190" t="s">
        <v>85</v>
      </c>
      <c r="H59" s="51" t="s">
        <v>84</v>
      </c>
      <c r="I59" s="213">
        <v>19194</v>
      </c>
      <c r="J59" s="191" t="s">
        <v>284</v>
      </c>
      <c r="K59" s="51" t="s">
        <v>482</v>
      </c>
      <c r="L59" s="48">
        <v>810601805</v>
      </c>
      <c r="M59" s="66">
        <f t="shared" si="2"/>
        <v>19194</v>
      </c>
    </row>
    <row r="60" spans="1:13" x14ac:dyDescent="0.15">
      <c r="A60" s="213">
        <v>19143</v>
      </c>
      <c r="B60" s="75">
        <v>21</v>
      </c>
      <c r="C60" s="188" t="s">
        <v>76</v>
      </c>
      <c r="D60" s="218"/>
      <c r="E60" s="192" t="s">
        <v>34</v>
      </c>
      <c r="F60" s="60">
        <v>26005375</v>
      </c>
      <c r="G60" s="190" t="s">
        <v>86</v>
      </c>
      <c r="H60" s="51" t="s">
        <v>87</v>
      </c>
      <c r="I60" s="213">
        <v>19143</v>
      </c>
      <c r="J60" s="215" t="s">
        <v>295</v>
      </c>
      <c r="K60" s="51" t="s">
        <v>431</v>
      </c>
      <c r="L60" s="48">
        <v>72635632300</v>
      </c>
      <c r="M60" s="66">
        <f t="shared" si="2"/>
        <v>19143</v>
      </c>
    </row>
    <row r="61" spans="1:13" x14ac:dyDescent="0.15">
      <c r="A61" s="188">
        <v>19143</v>
      </c>
      <c r="B61" s="75">
        <v>22</v>
      </c>
      <c r="C61" s="188" t="s">
        <v>76</v>
      </c>
      <c r="D61" s="218"/>
      <c r="E61" s="192" t="s">
        <v>34</v>
      </c>
      <c r="F61" s="60">
        <v>26005375</v>
      </c>
      <c r="G61" s="190" t="s">
        <v>88</v>
      </c>
      <c r="H61" s="210" t="s">
        <v>87</v>
      </c>
      <c r="I61" s="188">
        <v>19143</v>
      </c>
      <c r="J61" s="191" t="s">
        <v>295</v>
      </c>
      <c r="K61" s="51" t="s">
        <v>431</v>
      </c>
      <c r="L61" s="48">
        <v>3336717456</v>
      </c>
      <c r="M61" s="66">
        <f t="shared" si="2"/>
        <v>19143</v>
      </c>
    </row>
    <row r="62" spans="1:13" x14ac:dyDescent="0.15">
      <c r="A62" s="213">
        <v>18986</v>
      </c>
      <c r="B62" s="75">
        <v>23</v>
      </c>
      <c r="C62" s="188" t="s">
        <v>79</v>
      </c>
      <c r="D62" s="218"/>
      <c r="E62" s="192" t="s">
        <v>34</v>
      </c>
      <c r="F62" s="59">
        <v>26005393</v>
      </c>
      <c r="G62" s="190" t="s">
        <v>906</v>
      </c>
      <c r="H62" s="51" t="s">
        <v>60</v>
      </c>
      <c r="I62" s="213">
        <v>18986</v>
      </c>
      <c r="J62" s="191" t="s">
        <v>332</v>
      </c>
      <c r="K62" s="51" t="s">
        <v>428</v>
      </c>
      <c r="L62" s="48">
        <v>1176046140</v>
      </c>
      <c r="M62" s="66">
        <f t="shared" si="2"/>
        <v>18986</v>
      </c>
    </row>
    <row r="63" spans="1:13" x14ac:dyDescent="0.15">
      <c r="A63" s="213">
        <v>18970</v>
      </c>
      <c r="B63" s="75">
        <v>24</v>
      </c>
      <c r="C63" s="188" t="s">
        <v>79</v>
      </c>
      <c r="D63" s="218"/>
      <c r="E63" s="192" t="s">
        <v>34</v>
      </c>
      <c r="F63" s="60">
        <v>26005393</v>
      </c>
      <c r="G63" s="190" t="s">
        <v>907</v>
      </c>
      <c r="H63" s="51" t="s">
        <v>45</v>
      </c>
      <c r="I63" s="213">
        <v>18970</v>
      </c>
      <c r="J63" s="191" t="s">
        <v>336</v>
      </c>
      <c r="K63" s="51" t="s">
        <v>482</v>
      </c>
      <c r="L63" s="48">
        <v>2753325060</v>
      </c>
      <c r="M63" s="66">
        <f t="shared" si="2"/>
        <v>18970</v>
      </c>
    </row>
    <row r="64" spans="1:13" x14ac:dyDescent="0.15">
      <c r="A64" s="216">
        <v>18989</v>
      </c>
      <c r="B64" s="75">
        <v>25</v>
      </c>
      <c r="C64" s="188" t="s">
        <v>79</v>
      </c>
      <c r="D64" s="218"/>
      <c r="E64" s="192" t="s">
        <v>34</v>
      </c>
      <c r="F64" s="60">
        <v>26005393</v>
      </c>
      <c r="G64" s="190" t="s">
        <v>908</v>
      </c>
      <c r="H64" s="51" t="s">
        <v>47</v>
      </c>
      <c r="I64" s="216">
        <v>18989</v>
      </c>
      <c r="J64" s="191" t="s">
        <v>909</v>
      </c>
      <c r="K64" s="51" t="s">
        <v>896</v>
      </c>
      <c r="L64" s="48">
        <v>570628800</v>
      </c>
      <c r="M64" s="66" t="e">
        <f t="shared" si="2"/>
        <v>#N/A</v>
      </c>
    </row>
    <row r="65" spans="1:13" x14ac:dyDescent="0.15">
      <c r="A65" s="213">
        <v>19383</v>
      </c>
      <c r="B65" s="75">
        <v>26</v>
      </c>
      <c r="C65" s="188" t="s">
        <v>79</v>
      </c>
      <c r="D65" s="217"/>
      <c r="E65" s="189" t="s">
        <v>904</v>
      </c>
      <c r="F65" s="60">
        <v>26005393</v>
      </c>
      <c r="G65" s="190" t="s">
        <v>910</v>
      </c>
      <c r="H65" s="51" t="s">
        <v>911</v>
      </c>
      <c r="I65" s="213">
        <v>19383</v>
      </c>
      <c r="J65" s="191" t="s">
        <v>327</v>
      </c>
      <c r="K65" s="51" t="s">
        <v>896</v>
      </c>
      <c r="L65" s="48">
        <v>2400326473</v>
      </c>
      <c r="M65" s="66">
        <f t="shared" si="2"/>
        <v>19383</v>
      </c>
    </row>
    <row r="66" spans="1:13" x14ac:dyDescent="0.15">
      <c r="A66" s="188">
        <v>19384</v>
      </c>
      <c r="B66" s="75">
        <v>27</v>
      </c>
      <c r="C66" s="188" t="s">
        <v>79</v>
      </c>
      <c r="D66" s="218"/>
      <c r="E66" s="192" t="s">
        <v>904</v>
      </c>
      <c r="F66" s="60">
        <v>26005393</v>
      </c>
      <c r="G66" s="190" t="s">
        <v>912</v>
      </c>
      <c r="H66" s="210" t="s">
        <v>913</v>
      </c>
      <c r="I66" s="188">
        <v>19384</v>
      </c>
      <c r="J66" s="191" t="s">
        <v>914</v>
      </c>
      <c r="K66" s="51" t="s">
        <v>896</v>
      </c>
      <c r="L66" s="48">
        <v>593000800</v>
      </c>
      <c r="M66" s="66" t="e">
        <f t="shared" si="2"/>
        <v>#N/A</v>
      </c>
    </row>
    <row r="67" spans="1:13" x14ac:dyDescent="0.15">
      <c r="A67" s="188">
        <v>19030</v>
      </c>
      <c r="B67" s="75">
        <v>28</v>
      </c>
      <c r="C67" s="188" t="s">
        <v>81</v>
      </c>
      <c r="D67" s="217"/>
      <c r="E67" s="189" t="s">
        <v>34</v>
      </c>
      <c r="F67" s="59">
        <v>26005429</v>
      </c>
      <c r="G67" s="190" t="s">
        <v>90</v>
      </c>
      <c r="H67" s="210" t="s">
        <v>91</v>
      </c>
      <c r="I67" s="188">
        <v>19030</v>
      </c>
      <c r="J67" s="191" t="s">
        <v>915</v>
      </c>
      <c r="K67" s="51" t="s">
        <v>896</v>
      </c>
      <c r="L67" s="194">
        <v>17537522000</v>
      </c>
      <c r="M67" s="66" t="e">
        <f t="shared" si="2"/>
        <v>#N/A</v>
      </c>
    </row>
    <row r="68" spans="1:13" x14ac:dyDescent="0.15">
      <c r="A68" s="188">
        <v>19032</v>
      </c>
      <c r="B68" s="75">
        <v>29</v>
      </c>
      <c r="C68" s="188" t="s">
        <v>81</v>
      </c>
      <c r="D68" s="218"/>
      <c r="E68" s="192" t="s">
        <v>34</v>
      </c>
      <c r="F68" s="60">
        <v>26005429</v>
      </c>
      <c r="G68" s="190" t="s">
        <v>92</v>
      </c>
      <c r="H68" s="210" t="s">
        <v>91</v>
      </c>
      <c r="I68" s="188">
        <v>19032</v>
      </c>
      <c r="J68" s="191" t="s">
        <v>915</v>
      </c>
      <c r="K68" s="51" t="s">
        <v>896</v>
      </c>
      <c r="L68" s="194">
        <v>650000000</v>
      </c>
      <c r="M68" s="66" t="e">
        <f t="shared" si="2"/>
        <v>#N/A</v>
      </c>
    </row>
    <row r="69" spans="1:13" x14ac:dyDescent="0.15">
      <c r="A69" s="188" t="s">
        <v>75</v>
      </c>
      <c r="B69" s="75">
        <v>30</v>
      </c>
      <c r="C69" s="188" t="s">
        <v>81</v>
      </c>
      <c r="D69" s="218"/>
      <c r="E69" s="192" t="s">
        <v>904</v>
      </c>
      <c r="F69" s="58">
        <v>26005416</v>
      </c>
      <c r="G69" s="195" t="s">
        <v>916</v>
      </c>
      <c r="H69" s="51" t="s">
        <v>91</v>
      </c>
      <c r="I69" s="188" t="s">
        <v>75</v>
      </c>
      <c r="J69" s="191" t="s">
        <v>915</v>
      </c>
      <c r="K69" s="51" t="s">
        <v>896</v>
      </c>
      <c r="L69" s="194">
        <v>4932427500</v>
      </c>
      <c r="M69" s="66" t="e">
        <f t="shared" si="2"/>
        <v>#N/A</v>
      </c>
    </row>
    <row r="70" spans="1:13" x14ac:dyDescent="0.2">
      <c r="B70" s="75">
        <v>31</v>
      </c>
      <c r="C70" s="196" t="s">
        <v>61</v>
      </c>
      <c r="D70" s="196"/>
      <c r="E70" s="196"/>
      <c r="F70" s="197"/>
      <c r="G70" s="197"/>
      <c r="H70" s="197"/>
      <c r="I70" s="197"/>
      <c r="J70" s="197"/>
      <c r="K70" s="198"/>
      <c r="L70" s="199">
        <v>215942130056</v>
      </c>
    </row>
  </sheetData>
  <autoFilter ref="A39:AX70" xr:uid="{B501AC8B-6B7C-D047-8CE0-C571C431768D}"/>
  <conditionalFormatting sqref="AF6:AF22">
    <cfRule type="containsText" dxfId="15" priority="5" operator="containsText" text="Contrato Firmado">
      <formula>NOT(ISERROR(SEARCH("Contrato Firmado",AF6)))</formula>
    </cfRule>
    <cfRule type="containsText" dxfId="14" priority="6" operator="containsText" text="Adjudicado">
      <formula>NOT(ISERROR(SEARCH("Adjudicado",AF6)))</formula>
    </cfRule>
    <cfRule type="containsText" dxfId="13" priority="7" operator="containsText" text="Proyecto de pliegos">
      <formula>NOT(ISERROR(SEARCH("Proyecto de pliegos",AF6)))</formula>
    </cfRule>
    <cfRule type="containsText" dxfId="12" priority="8" operator="containsText" text="Pliegos definitivos">
      <formula>NOT(ISERROR(SEARCH("Pliegos definitivos",AF6)))</formula>
    </cfRule>
    <cfRule type="containsText" dxfId="11" priority="9" operator="containsText" text="En evaluacion">
      <formula>NOT(ISERROR(SEARCH("En evaluacion",AF6)))</formula>
    </cfRule>
  </conditionalFormatting>
  <conditionalFormatting sqref="I39:I68 I70">
    <cfRule type="duplicateValues" dxfId="10" priority="4"/>
  </conditionalFormatting>
  <conditionalFormatting sqref="F23:F33">
    <cfRule type="duplicateValues" dxfId="9" priority="2"/>
  </conditionalFormatting>
  <conditionalFormatting sqref="A40:A68">
    <cfRule type="duplicateValues" dxfId="8" priority="1"/>
  </conditionalFormatting>
  <conditionalFormatting sqref="AV6:AV46">
    <cfRule type="duplicateValues" dxfId="0" priority="11"/>
  </conditionalFormatting>
  <hyperlinks>
    <hyperlink ref="G12" r:id="rId1" xr:uid="{702ECA6E-FB52-744D-8E3F-83DBF219C418}"/>
    <hyperlink ref="G10" r:id="rId2" xr:uid="{B8100C93-DBF0-9E4B-99D8-942CA4D16D05}"/>
    <hyperlink ref="AJ6" r:id="rId3" xr:uid="{5B4D4D61-134F-AA40-83DE-7CF0D538ACBF}"/>
    <hyperlink ref="AJ7" r:id="rId4" xr:uid="{AA4A4E00-1B06-0149-A578-273ABDE75C49}"/>
    <hyperlink ref="AJ8" r:id="rId5" xr:uid="{312ADFA1-FA14-F14F-A3BA-EF377B8112A2}"/>
    <hyperlink ref="AJ9" r:id="rId6" xr:uid="{92AD4651-FE31-0146-894D-CE50EBCDF495}"/>
    <hyperlink ref="AJ10" r:id="rId7" xr:uid="{FB1A84AF-5C85-7E4E-B725-202A6368EBFD}"/>
    <hyperlink ref="G11" r:id="rId8" xr:uid="{3E9F7C3E-4705-324D-9050-746D85CE93D4}"/>
    <hyperlink ref="AJ11" r:id="rId9" xr:uid="{BF392B8B-9F86-8F41-9092-A881468B3916}"/>
    <hyperlink ref="AJ13" r:id="rId10" xr:uid="{BCD3ECFB-F0C0-784B-A25F-49D207A3E0E0}"/>
    <hyperlink ref="AJ12" r:id="rId11" xr:uid="{5D5B6F55-7A15-4045-87BA-5A59E318F033}"/>
    <hyperlink ref="AJ14" r:id="rId12" xr:uid="{A2079B0A-CAC7-394D-B558-600052C6437E}"/>
    <hyperlink ref="AJ15" r:id="rId13" xr:uid="{B56DE61A-4674-794D-ABE0-9BF9B5374EB4}"/>
    <hyperlink ref="AJ17" r:id="rId14" xr:uid="{6916E68A-8E2F-9047-AAA5-ADFB397E8D09}"/>
    <hyperlink ref="AJ18" r:id="rId15" xr:uid="{2974C020-1F96-C947-92DF-E2F38B6D13CF}"/>
    <hyperlink ref="AJ19" r:id="rId16" xr:uid="{ACB29705-21FF-1F43-A8E7-232A15DDD0D2}"/>
    <hyperlink ref="AJ20" r:id="rId17" xr:uid="{AEF0B114-C84A-EF43-81B8-92BA68954A51}"/>
    <hyperlink ref="AJ21" r:id="rId18" xr:uid="{1DBD41CE-6D56-4047-B0CB-6447CB4331BF}"/>
    <hyperlink ref="AJ22" r:id="rId19" xr:uid="{1C795326-4E42-FC48-BB91-169F8F4F4770}"/>
    <hyperlink ref="J43" r:id="rId20" xr:uid="{5711851D-BE1D-C84D-96D8-3F7DA3F9EA41}"/>
    <hyperlink ref="J45" r:id="rId21" xr:uid="{01BA39E8-4223-D74E-A736-33C9C476B1AF}"/>
  </hyperlinks>
  <pageMargins left="0.7" right="0.7" top="0.75" bottom="0.75" header="0.3" footer="0.3"/>
  <legacyDrawing r:id="rId22"/>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CF1DDC77-B84B-BA4F-BCAE-E1F8B143DAB3}">
          <x14:formula1>
            <xm:f>Hoja1!$B$22:$B$24</xm:f>
          </x14:formula1>
          <xm:sqref>M6:M8</xm:sqref>
        </x14:dataValidation>
        <x14:dataValidation type="list" allowBlank="1" showInputMessage="1" showErrorMessage="1" xr:uid="{9ACD82C5-EE32-7841-8B3B-34EA8F6F3FFF}">
          <x14:formula1>
            <xm:f>Hoja1!$B$22:$B$25</xm:f>
          </x14:formula1>
          <xm:sqref>M9:M13 M15:M16 M18 M20:M22</xm:sqref>
        </x14:dataValidation>
        <x14:dataValidation type="list" allowBlank="1" showInputMessage="1" showErrorMessage="1" xr:uid="{B781B604-881C-6048-9084-D518A9011725}">
          <x14:formula1>
            <xm:f>Hoja1!$C$22:$C$24</xm:f>
          </x14:formula1>
          <xm:sqref>I6:I22</xm:sqref>
        </x14:dataValidation>
        <x14:dataValidation type="list" allowBlank="1" showInputMessage="1" showErrorMessage="1" xr:uid="{A54C2AE3-7E22-084E-B09B-D8AFECFA47E4}">
          <x14:formula1>
            <xm:f>Hoja1!$C$29:$C$33</xm:f>
          </x14:formula1>
          <xm:sqref>AF6:AF22</xm:sqref>
        </x14:dataValidation>
        <x14:dataValidation type="list" allowBlank="1" showInputMessage="1" showErrorMessage="1" xr:uid="{3172C3ED-53B1-BD49-B62D-63376AB68B42}">
          <x14:formula1>
            <xm:f>Hoja1!$B$32:$B$33</xm:f>
          </x14:formula1>
          <xm:sqref>J6:J22</xm:sqref>
        </x14:dataValidation>
        <x14:dataValidation type="list" allowBlank="1" showInputMessage="1" showErrorMessage="1" xr:uid="{304FFED4-239C-864B-A11E-8E2213B86C8C}">
          <x14:formula1>
            <xm:f>Hoja1!$B$22:$B$26</xm:f>
          </x14:formula1>
          <xm:sqref>M14</xm:sqref>
        </x14:dataValidation>
        <x14:dataValidation type="list" allowBlank="1" showInputMessage="1" showErrorMessage="1" xr:uid="{D015A649-FFC1-E745-987E-D9EA3DF36122}">
          <x14:formula1>
            <xm:f>Hoja1!$B$22:$B$27</xm:f>
          </x14:formula1>
          <xm:sqref>M17 M19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2402E-7BCC-3B4C-833C-0EE496F278CA}">
  <dimension ref="A1:B28"/>
  <sheetViews>
    <sheetView topLeftCell="A2" workbookViewId="0">
      <selection activeCell="B13" sqref="B13"/>
    </sheetView>
  </sheetViews>
  <sheetFormatPr baseColWidth="10" defaultRowHeight="15" x14ac:dyDescent="0.2"/>
  <cols>
    <col min="1" max="1" width="22" style="169" customWidth="1"/>
    <col min="2" max="2" width="120.1640625" style="169" bestFit="1" customWidth="1"/>
    <col min="3" max="16384" width="10.83203125" style="169"/>
  </cols>
  <sheetData>
    <row r="1" spans="1:2" ht="17" thickBot="1" x14ac:dyDescent="0.25">
      <c r="A1" s="168" t="s">
        <v>35</v>
      </c>
      <c r="B1" s="168" t="s">
        <v>667</v>
      </c>
    </row>
    <row r="2" spans="1:2" ht="17" thickBot="1" x14ac:dyDescent="0.25">
      <c r="A2" s="170" t="s">
        <v>171</v>
      </c>
      <c r="B2" s="171" t="s">
        <v>668</v>
      </c>
    </row>
    <row r="3" spans="1:2" ht="17" thickBot="1" x14ac:dyDescent="0.25">
      <c r="A3" s="170" t="s">
        <v>98</v>
      </c>
      <c r="B3" s="171" t="s">
        <v>669</v>
      </c>
    </row>
    <row r="4" spans="1:2" ht="17" thickBot="1" x14ac:dyDescent="0.25">
      <c r="A4" s="170" t="s">
        <v>670</v>
      </c>
      <c r="B4" s="171" t="s">
        <v>671</v>
      </c>
    </row>
    <row r="5" spans="1:2" ht="33" thickBot="1" x14ac:dyDescent="0.25">
      <c r="A5" s="170" t="s">
        <v>672</v>
      </c>
      <c r="B5" s="171" t="s">
        <v>673</v>
      </c>
    </row>
    <row r="6" spans="1:2" ht="17" thickBot="1" x14ac:dyDescent="0.25">
      <c r="A6" s="170" t="s">
        <v>42</v>
      </c>
      <c r="B6" s="171" t="s">
        <v>674</v>
      </c>
    </row>
    <row r="7" spans="1:2" ht="17" thickBot="1" x14ac:dyDescent="0.25">
      <c r="A7" s="170" t="s">
        <v>675</v>
      </c>
      <c r="B7" s="171" t="s">
        <v>676</v>
      </c>
    </row>
    <row r="8" spans="1:2" ht="17" thickBot="1" x14ac:dyDescent="0.25">
      <c r="A8" s="170" t="s">
        <v>677</v>
      </c>
      <c r="B8" s="171" t="s">
        <v>678</v>
      </c>
    </row>
    <row r="9" spans="1:2" ht="17" thickBot="1" x14ac:dyDescent="0.25">
      <c r="A9" s="170" t="s">
        <v>679</v>
      </c>
      <c r="B9" s="171" t="s">
        <v>680</v>
      </c>
    </row>
    <row r="10" spans="1:2" ht="17" thickBot="1" x14ac:dyDescent="0.25">
      <c r="A10" s="170" t="s">
        <v>49</v>
      </c>
      <c r="B10" s="171" t="s">
        <v>681</v>
      </c>
    </row>
    <row r="11" spans="1:2" ht="17" thickBot="1" x14ac:dyDescent="0.25">
      <c r="A11" s="170" t="s">
        <v>65</v>
      </c>
      <c r="B11" s="171" t="s">
        <v>682</v>
      </c>
    </row>
    <row r="12" spans="1:2" ht="17" thickBot="1" x14ac:dyDescent="0.25">
      <c r="A12" s="170" t="s">
        <v>71</v>
      </c>
      <c r="B12" s="171" t="s">
        <v>683</v>
      </c>
    </row>
    <row r="13" spans="1:2" ht="17" thickBot="1" x14ac:dyDescent="0.25">
      <c r="A13" s="170" t="s">
        <v>68</v>
      </c>
      <c r="B13" s="172" t="s">
        <v>684</v>
      </c>
    </row>
    <row r="14" spans="1:2" ht="17" thickBot="1" x14ac:dyDescent="0.25">
      <c r="A14" s="170" t="s">
        <v>685</v>
      </c>
      <c r="B14" s="171" t="s">
        <v>686</v>
      </c>
    </row>
    <row r="15" spans="1:2" ht="17" thickBot="1" x14ac:dyDescent="0.25">
      <c r="A15" s="170" t="s">
        <v>271</v>
      </c>
      <c r="B15" s="171" t="s">
        <v>687</v>
      </c>
    </row>
    <row r="16" spans="1:2" ht="17" thickBot="1" x14ac:dyDescent="0.25">
      <c r="A16" s="170" t="s">
        <v>76</v>
      </c>
      <c r="B16" s="171" t="s">
        <v>688</v>
      </c>
    </row>
    <row r="17" spans="1:2" ht="17" thickBot="1" x14ac:dyDescent="0.25">
      <c r="A17" s="170" t="s">
        <v>689</v>
      </c>
      <c r="B17" s="171" t="s">
        <v>690</v>
      </c>
    </row>
    <row r="18" spans="1:2" ht="17" thickBot="1" x14ac:dyDescent="0.25">
      <c r="A18" s="170" t="s">
        <v>691</v>
      </c>
      <c r="B18" s="171" t="s">
        <v>692</v>
      </c>
    </row>
    <row r="19" spans="1:2" ht="17" thickBot="1" x14ac:dyDescent="0.25">
      <c r="A19" s="170" t="s">
        <v>79</v>
      </c>
      <c r="B19" s="171" t="s">
        <v>693</v>
      </c>
    </row>
    <row r="20" spans="1:2" ht="17" thickBot="1" x14ac:dyDescent="0.25">
      <c r="A20" s="170" t="s">
        <v>694</v>
      </c>
      <c r="B20" s="171" t="s">
        <v>695</v>
      </c>
    </row>
    <row r="21" spans="1:2" ht="17" thickBot="1" x14ac:dyDescent="0.25">
      <c r="A21" s="170" t="s">
        <v>696</v>
      </c>
      <c r="B21" s="172" t="s">
        <v>697</v>
      </c>
    </row>
    <row r="22" spans="1:2" ht="17" thickBot="1" x14ac:dyDescent="0.25">
      <c r="A22" s="170" t="s">
        <v>698</v>
      </c>
      <c r="B22" s="171" t="s">
        <v>699</v>
      </c>
    </row>
    <row r="23" spans="1:2" ht="17" thickBot="1" x14ac:dyDescent="0.25">
      <c r="A23" s="170" t="s">
        <v>700</v>
      </c>
      <c r="B23" s="171" t="s">
        <v>701</v>
      </c>
    </row>
    <row r="24" spans="1:2" ht="17" thickBot="1" x14ac:dyDescent="0.25">
      <c r="A24" s="170" t="s">
        <v>702</v>
      </c>
      <c r="B24" s="171" t="s">
        <v>703</v>
      </c>
    </row>
    <row r="25" spans="1:2" ht="17" thickBot="1" x14ac:dyDescent="0.25">
      <c r="A25" s="170" t="s">
        <v>704</v>
      </c>
      <c r="B25" s="171" t="s">
        <v>705</v>
      </c>
    </row>
    <row r="26" spans="1:2" ht="17" thickBot="1" x14ac:dyDescent="0.25">
      <c r="A26" s="170" t="s">
        <v>706</v>
      </c>
      <c r="B26" s="172" t="s">
        <v>707</v>
      </c>
    </row>
    <row r="27" spans="1:2" ht="17" thickBot="1" x14ac:dyDescent="0.25">
      <c r="A27" s="170" t="s">
        <v>708</v>
      </c>
      <c r="B27" s="171" t="s">
        <v>709</v>
      </c>
    </row>
    <row r="28" spans="1:2" ht="17" thickBot="1" x14ac:dyDescent="0.25">
      <c r="A28" s="170" t="s">
        <v>81</v>
      </c>
      <c r="B28" s="171" t="s">
        <v>710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186E7-290E-EE42-B3D2-A0D2656755B9}">
  <dimension ref="B1:AW58"/>
  <sheetViews>
    <sheetView topLeftCell="B4" zoomScale="75" workbookViewId="0">
      <selection activeCell="E5" sqref="E5"/>
    </sheetView>
  </sheetViews>
  <sheetFormatPr baseColWidth="10" defaultRowHeight="15" outlineLevelCol="1" x14ac:dyDescent="0.2"/>
  <cols>
    <col min="1" max="1" width="5.5" style="66" customWidth="1"/>
    <col min="2" max="2" width="6.6640625" style="75" customWidth="1"/>
    <col min="3" max="3" width="23" style="66" customWidth="1"/>
    <col min="4" max="4" width="114.6640625" style="66" customWidth="1"/>
    <col min="5" max="5" width="11.5" style="75" customWidth="1"/>
    <col min="6" max="6" width="28.33203125" style="66" customWidth="1"/>
    <col min="7" max="7" width="22.1640625" style="66" customWidth="1"/>
    <col min="8" max="8" width="17.33203125" style="66" bestFit="1" customWidth="1"/>
    <col min="9" max="9" width="14.6640625" style="75" customWidth="1"/>
    <col min="10" max="10" width="83.83203125" style="66" customWidth="1"/>
    <col min="11" max="11" width="24.33203125" style="75" bestFit="1" customWidth="1"/>
    <col min="12" max="13" width="22.1640625" style="66" customWidth="1"/>
    <col min="14" max="14" width="26.83203125" style="66" customWidth="1"/>
    <col min="15" max="28" width="3.33203125" style="66" customWidth="1" outlineLevel="1"/>
    <col min="29" max="29" width="20.33203125" style="66" customWidth="1"/>
    <col min="30" max="30" width="16" style="66" bestFit="1" customWidth="1"/>
    <col min="31" max="31" width="27.83203125" style="66" customWidth="1"/>
    <col min="32" max="32" width="76.83203125" style="66" customWidth="1"/>
    <col min="33" max="33" width="9.5" style="66" bestFit="1" customWidth="1"/>
    <col min="34" max="34" width="11.1640625" style="66" bestFit="1" customWidth="1"/>
    <col min="35" max="35" width="38" style="66" customWidth="1"/>
    <col min="36" max="36" width="10.83203125" style="66"/>
    <col min="37" max="37" width="25.33203125" style="66" customWidth="1"/>
    <col min="38" max="38" width="34.6640625" style="66" customWidth="1"/>
    <col min="39" max="40" width="27.5" style="66" customWidth="1"/>
    <col min="41" max="41" width="16.83203125" style="66" customWidth="1"/>
    <col min="42" max="42" width="22.6640625" style="66" customWidth="1"/>
    <col min="43" max="43" width="19.5" style="66" customWidth="1"/>
    <col min="44" max="44" width="10.83203125" style="66"/>
    <col min="45" max="45" width="24.83203125" style="66" customWidth="1"/>
    <col min="46" max="46" width="22" style="66" customWidth="1"/>
    <col min="47" max="47" width="30.83203125" style="66" customWidth="1"/>
    <col min="48" max="48" width="10.83203125" style="66"/>
    <col min="49" max="49" width="29.83203125" style="66" customWidth="1"/>
    <col min="50" max="50" width="10.83203125" style="66"/>
    <col min="51" max="51" width="11.6640625" style="66" customWidth="1"/>
    <col min="52" max="52" width="12.5" style="66" customWidth="1"/>
    <col min="53" max="53" width="19.33203125" style="66" customWidth="1"/>
    <col min="54" max="54" width="10.83203125" style="66"/>
    <col min="55" max="55" width="16.5" style="66" customWidth="1"/>
    <col min="56" max="56" width="17.83203125" style="66" customWidth="1"/>
    <col min="57" max="57" width="10.83203125" style="66"/>
    <col min="58" max="58" width="18.5" style="66" customWidth="1"/>
    <col min="59" max="59" width="14.33203125" style="66" customWidth="1"/>
    <col min="60" max="61" width="18.5" style="66" customWidth="1"/>
    <col min="62" max="16384" width="10.83203125" style="66"/>
  </cols>
  <sheetData>
    <row r="1" spans="2:49" x14ac:dyDescent="0.2">
      <c r="C1" s="137"/>
      <c r="D1" s="137"/>
      <c r="E1" s="138"/>
      <c r="F1" s="137"/>
      <c r="G1" s="137"/>
      <c r="H1" s="137"/>
      <c r="I1" s="138"/>
      <c r="J1" s="137"/>
      <c r="K1" s="138"/>
      <c r="L1" s="137"/>
      <c r="M1" s="137"/>
    </row>
    <row r="2" spans="2:49" x14ac:dyDescent="0.2">
      <c r="C2" s="137"/>
      <c r="D2" s="137"/>
      <c r="E2" s="138"/>
      <c r="F2" s="137"/>
      <c r="G2" s="137"/>
      <c r="H2" s="137"/>
      <c r="I2" s="138"/>
      <c r="J2" s="137"/>
      <c r="K2" s="138"/>
      <c r="L2" s="137"/>
      <c r="M2" s="137"/>
    </row>
    <row r="3" spans="2:49" x14ac:dyDescent="0.2">
      <c r="C3" s="137"/>
      <c r="D3" s="137"/>
      <c r="E3" s="138"/>
      <c r="F3" s="137"/>
      <c r="G3" s="137"/>
      <c r="H3" s="137"/>
      <c r="I3" s="138"/>
      <c r="J3" s="137"/>
      <c r="K3" s="138"/>
      <c r="L3" s="137"/>
      <c r="M3" s="137"/>
    </row>
    <row r="4" spans="2:49" ht="16" thickBot="1" x14ac:dyDescent="0.25"/>
    <row r="5" spans="2:49" ht="141" x14ac:dyDescent="0.2">
      <c r="B5" s="153" t="s">
        <v>579</v>
      </c>
      <c r="C5" s="139" t="s">
        <v>137</v>
      </c>
      <c r="D5" s="139" t="s">
        <v>103</v>
      </c>
      <c r="E5" s="139" t="s">
        <v>122</v>
      </c>
      <c r="F5" s="139" t="s">
        <v>134</v>
      </c>
      <c r="G5" s="139" t="s">
        <v>345</v>
      </c>
      <c r="H5" s="140" t="s">
        <v>424</v>
      </c>
      <c r="I5" s="140" t="s">
        <v>1</v>
      </c>
      <c r="J5" s="141" t="s">
        <v>422</v>
      </c>
      <c r="K5" s="142" t="s">
        <v>355</v>
      </c>
      <c r="L5" s="142" t="s">
        <v>356</v>
      </c>
      <c r="M5" s="142" t="s">
        <v>8</v>
      </c>
      <c r="N5" s="141" t="s">
        <v>9</v>
      </c>
      <c r="O5" s="152" t="s">
        <v>6</v>
      </c>
      <c r="P5" s="152" t="s">
        <v>7</v>
      </c>
      <c r="Q5" s="152" t="s">
        <v>8</v>
      </c>
      <c r="R5" s="152" t="s">
        <v>10</v>
      </c>
      <c r="S5" s="152" t="s">
        <v>14</v>
      </c>
      <c r="T5" s="152" t="s">
        <v>650</v>
      </c>
      <c r="U5" s="152" t="s">
        <v>12</v>
      </c>
      <c r="V5" s="152" t="s">
        <v>13</v>
      </c>
      <c r="W5" s="152" t="s">
        <v>17</v>
      </c>
      <c r="X5" s="152" t="s">
        <v>15</v>
      </c>
      <c r="Y5" s="152" t="s">
        <v>16</v>
      </c>
      <c r="Z5" s="152" t="s">
        <v>18</v>
      </c>
      <c r="AA5" s="152" t="s">
        <v>19</v>
      </c>
      <c r="AB5" s="152" t="s">
        <v>647</v>
      </c>
      <c r="AC5" s="96" t="s">
        <v>429</v>
      </c>
      <c r="AD5" s="96" t="s">
        <v>580</v>
      </c>
      <c r="AE5" s="96" t="s">
        <v>581</v>
      </c>
      <c r="AF5" s="141" t="s">
        <v>582</v>
      </c>
      <c r="AG5" s="141" t="s">
        <v>583</v>
      </c>
      <c r="AH5" s="141" t="s">
        <v>584</v>
      </c>
      <c r="AI5" s="143" t="s">
        <v>713</v>
      </c>
    </row>
    <row r="6" spans="2:49" ht="80" x14ac:dyDescent="0.2">
      <c r="B6" s="144">
        <v>1</v>
      </c>
      <c r="C6" s="74" t="s">
        <v>42</v>
      </c>
      <c r="D6" s="145" t="s">
        <v>338</v>
      </c>
      <c r="E6" s="208">
        <v>18889</v>
      </c>
      <c r="F6" s="74" t="s">
        <v>202</v>
      </c>
      <c r="G6" s="129">
        <v>5700377800</v>
      </c>
      <c r="H6" s="146" t="s">
        <v>0</v>
      </c>
      <c r="I6" s="146" t="s">
        <v>365</v>
      </c>
      <c r="J6" s="145" t="s">
        <v>347</v>
      </c>
      <c r="K6" s="130">
        <v>5700377800</v>
      </c>
      <c r="L6" s="147" t="s">
        <v>357</v>
      </c>
      <c r="M6" s="146" t="s">
        <v>459</v>
      </c>
      <c r="N6" s="74" t="s">
        <v>341</v>
      </c>
      <c r="O6" s="74" t="s">
        <v>340</v>
      </c>
      <c r="P6" s="74" t="s">
        <v>340</v>
      </c>
      <c r="Q6" s="74" t="s">
        <v>340</v>
      </c>
      <c r="R6" s="74" t="s">
        <v>340</v>
      </c>
      <c r="S6" s="74" t="s">
        <v>340</v>
      </c>
      <c r="T6" s="74" t="s">
        <v>340</v>
      </c>
      <c r="U6" s="74" t="s">
        <v>340</v>
      </c>
      <c r="V6" s="74" t="s">
        <v>340</v>
      </c>
      <c r="W6" s="74" t="s">
        <v>340</v>
      </c>
      <c r="X6" s="74" t="s">
        <v>340</v>
      </c>
      <c r="Y6" s="74" t="s">
        <v>340</v>
      </c>
      <c r="Z6" s="74" t="s">
        <v>342</v>
      </c>
      <c r="AA6" s="74" t="s">
        <v>340</v>
      </c>
      <c r="AB6" s="74">
        <v>0</v>
      </c>
      <c r="AC6" s="166">
        <v>45890</v>
      </c>
      <c r="AD6" s="166">
        <v>45890</v>
      </c>
      <c r="AE6" s="72" t="s">
        <v>482</v>
      </c>
      <c r="AF6" s="154" t="s">
        <v>934</v>
      </c>
      <c r="AG6" s="74" t="s">
        <v>623</v>
      </c>
      <c r="AH6" s="74">
        <v>3178218610</v>
      </c>
      <c r="AI6" s="173" t="s">
        <v>711</v>
      </c>
      <c r="AJ6" s="205"/>
      <c r="AK6" s="66" t="e" cm="1">
        <f t="array" ref="AK6:AS37">VLOOKUP(E6:E22,C27:K58,1,C27:K58)</f>
        <v>#VALUE!</v>
      </c>
      <c r="AL6" s="66" t="e">
        <v>#VALUE!</v>
      </c>
      <c r="AM6" s="66" t="e">
        <v>#VALUE!</v>
      </c>
      <c r="AN6" s="66" t="e">
        <v>#VALUE!</v>
      </c>
      <c r="AO6" s="66" t="e">
        <v>#VALUE!</v>
      </c>
      <c r="AP6" s="66" t="e">
        <v>#VALUE!</v>
      </c>
      <c r="AQ6" s="66" t="e">
        <v>#VALUE!</v>
      </c>
      <c r="AR6" s="66" t="e">
        <v>#VALUE!</v>
      </c>
      <c r="AS6" s="66" t="e">
        <v>#VALUE!</v>
      </c>
      <c r="AU6" s="188">
        <v>18889</v>
      </c>
      <c r="AW6" s="66" t="b">
        <f>AU6=E6</f>
        <v>1</v>
      </c>
    </row>
    <row r="7" spans="2:49" ht="80" x14ac:dyDescent="0.2">
      <c r="B7" s="144">
        <v>2</v>
      </c>
      <c r="C7" s="74" t="s">
        <v>42</v>
      </c>
      <c r="D7" s="145" t="s">
        <v>176</v>
      </c>
      <c r="E7" s="208">
        <v>18890</v>
      </c>
      <c r="F7" s="74" t="s">
        <v>187</v>
      </c>
      <c r="G7" s="129">
        <v>599955458</v>
      </c>
      <c r="H7" s="146" t="s">
        <v>0</v>
      </c>
      <c r="I7" s="146" t="s">
        <v>365</v>
      </c>
      <c r="J7" s="145" t="s">
        <v>348</v>
      </c>
      <c r="K7" s="130">
        <v>599955458</v>
      </c>
      <c r="L7" s="147" t="s">
        <v>358</v>
      </c>
      <c r="M7" s="146" t="s">
        <v>563</v>
      </c>
      <c r="N7" s="74" t="s">
        <v>349</v>
      </c>
      <c r="O7" s="74" t="s">
        <v>340</v>
      </c>
      <c r="P7" s="74" t="s">
        <v>340</v>
      </c>
      <c r="Q7" s="74" t="s">
        <v>340</v>
      </c>
      <c r="R7" s="74" t="s">
        <v>340</v>
      </c>
      <c r="S7" s="74" t="s">
        <v>340</v>
      </c>
      <c r="T7" s="74" t="s">
        <v>340</v>
      </c>
      <c r="U7" s="74" t="s">
        <v>340</v>
      </c>
      <c r="V7" s="74" t="s">
        <v>340</v>
      </c>
      <c r="W7" s="74" t="s">
        <v>340</v>
      </c>
      <c r="X7" s="74" t="s">
        <v>340</v>
      </c>
      <c r="Y7" s="74" t="s">
        <v>340</v>
      </c>
      <c r="Z7" s="74" t="s">
        <v>342</v>
      </c>
      <c r="AA7" s="74" t="s">
        <v>340</v>
      </c>
      <c r="AB7" s="74">
        <v>0</v>
      </c>
      <c r="AC7" s="166">
        <v>45897</v>
      </c>
      <c r="AD7" s="166">
        <v>45897</v>
      </c>
      <c r="AE7" s="72" t="s">
        <v>426</v>
      </c>
      <c r="AF7" s="154" t="s">
        <v>935</v>
      </c>
      <c r="AG7" s="74" t="s">
        <v>623</v>
      </c>
      <c r="AH7" s="74">
        <v>3178218610</v>
      </c>
      <c r="AI7" s="173" t="s">
        <v>712</v>
      </c>
      <c r="AJ7" s="205"/>
      <c r="AK7" s="66" t="e">
        <v>#VALUE!</v>
      </c>
      <c r="AL7" s="66" t="e">
        <v>#VALUE!</v>
      </c>
      <c r="AM7" s="66" t="e">
        <v>#N/A</v>
      </c>
      <c r="AN7" s="66" t="e">
        <v>#VALUE!</v>
      </c>
      <c r="AO7" s="66" t="e">
        <v>#VALUE!</v>
      </c>
      <c r="AP7" s="66" t="e">
        <v>#N/A</v>
      </c>
      <c r="AQ7" s="66" t="e">
        <v>#VALUE!</v>
      </c>
      <c r="AR7" s="66" t="e">
        <v>#VALUE!</v>
      </c>
      <c r="AS7" s="66" t="e">
        <v>#N/A</v>
      </c>
      <c r="AU7" s="188">
        <v>18890</v>
      </c>
      <c r="AW7" s="66" t="b">
        <f t="shared" ref="AW7:AW35" si="0">AU7=E7</f>
        <v>1</v>
      </c>
    </row>
    <row r="8" spans="2:49" ht="54" customHeight="1" x14ac:dyDescent="0.2">
      <c r="B8" s="144">
        <v>3</v>
      </c>
      <c r="C8" s="74" t="s">
        <v>49</v>
      </c>
      <c r="D8" s="145" t="s">
        <v>339</v>
      </c>
      <c r="E8" s="212">
        <v>18933</v>
      </c>
      <c r="F8" s="74" t="s">
        <v>219</v>
      </c>
      <c r="G8" s="129">
        <v>260000000</v>
      </c>
      <c r="H8" s="146" t="s">
        <v>0</v>
      </c>
      <c r="I8" s="146" t="s">
        <v>365</v>
      </c>
      <c r="J8" s="145" t="s">
        <v>352</v>
      </c>
      <c r="K8" s="130">
        <v>259935133</v>
      </c>
      <c r="L8" s="147" t="s">
        <v>359</v>
      </c>
      <c r="M8" s="146" t="s">
        <v>364</v>
      </c>
      <c r="N8" s="74" t="s">
        <v>362</v>
      </c>
      <c r="O8" s="74" t="s">
        <v>340</v>
      </c>
      <c r="P8" s="74" t="s">
        <v>340</v>
      </c>
      <c r="Q8" s="74" t="s">
        <v>340</v>
      </c>
      <c r="R8" s="74" t="s">
        <v>340</v>
      </c>
      <c r="S8" s="167" t="s">
        <v>651</v>
      </c>
      <c r="T8" s="74" t="s">
        <v>340</v>
      </c>
      <c r="U8" s="74" t="s">
        <v>340</v>
      </c>
      <c r="V8" s="74" t="s">
        <v>340</v>
      </c>
      <c r="W8" s="74" t="s">
        <v>340</v>
      </c>
      <c r="X8" s="74" t="s">
        <v>340</v>
      </c>
      <c r="Y8" s="74" t="s">
        <v>340</v>
      </c>
      <c r="Z8" s="74" t="s">
        <v>340</v>
      </c>
      <c r="AA8" s="167" t="s">
        <v>651</v>
      </c>
      <c r="AB8" s="74" t="s">
        <v>340</v>
      </c>
      <c r="AC8" s="166">
        <v>45897</v>
      </c>
      <c r="AD8" s="166">
        <v>45897</v>
      </c>
      <c r="AE8" s="72" t="s">
        <v>431</v>
      </c>
      <c r="AF8" s="154" t="s">
        <v>652</v>
      </c>
      <c r="AG8" s="74"/>
      <c r="AH8" s="74"/>
      <c r="AI8" s="173" t="s">
        <v>714</v>
      </c>
      <c r="AK8" s="66" t="e">
        <v>#VALUE!</v>
      </c>
      <c r="AL8" s="66" t="e">
        <v>#VALUE!</v>
      </c>
      <c r="AM8" s="66" t="e">
        <v>#N/A</v>
      </c>
      <c r="AN8" s="66" t="e">
        <v>#VALUE!</v>
      </c>
      <c r="AO8" s="66" t="e">
        <v>#VALUE!</v>
      </c>
      <c r="AP8" s="66" t="e">
        <v>#N/A</v>
      </c>
      <c r="AQ8" s="66" t="e">
        <v>#VALUE!</v>
      </c>
      <c r="AR8" s="66" t="e">
        <v>#VALUE!</v>
      </c>
      <c r="AS8" s="66" t="e">
        <v>#N/A</v>
      </c>
      <c r="AU8" s="188">
        <v>18918</v>
      </c>
      <c r="AW8" s="66" t="b">
        <f t="shared" si="0"/>
        <v>0</v>
      </c>
    </row>
    <row r="9" spans="2:49" ht="64" x14ac:dyDescent="0.2">
      <c r="B9" s="144">
        <v>4</v>
      </c>
      <c r="C9" s="74" t="s">
        <v>49</v>
      </c>
      <c r="D9" s="145" t="s">
        <v>206</v>
      </c>
      <c r="E9" s="208">
        <v>18946</v>
      </c>
      <c r="F9" s="74" t="s">
        <v>212</v>
      </c>
      <c r="G9" s="129">
        <v>500000000</v>
      </c>
      <c r="H9" s="146" t="s">
        <v>0</v>
      </c>
      <c r="I9" s="146" t="s">
        <v>365</v>
      </c>
      <c r="J9" s="145" t="s">
        <v>409</v>
      </c>
      <c r="K9" s="130">
        <v>500000000</v>
      </c>
      <c r="L9" s="147" t="s">
        <v>407</v>
      </c>
      <c r="M9" s="146" t="s">
        <v>433</v>
      </c>
      <c r="N9" s="74" t="s">
        <v>408</v>
      </c>
      <c r="O9" s="74" t="s">
        <v>340</v>
      </c>
      <c r="P9" s="74" t="s">
        <v>340</v>
      </c>
      <c r="Q9" s="74" t="s">
        <v>340</v>
      </c>
      <c r="R9" s="74" t="s">
        <v>340</v>
      </c>
      <c r="S9" s="167" t="s">
        <v>651</v>
      </c>
      <c r="T9" s="74" t="s">
        <v>340</v>
      </c>
      <c r="U9" s="74" t="s">
        <v>340</v>
      </c>
      <c r="V9" s="74" t="s">
        <v>340</v>
      </c>
      <c r="W9" s="74" t="s">
        <v>340</v>
      </c>
      <c r="X9" s="74" t="s">
        <v>340</v>
      </c>
      <c r="Y9" s="74" t="s">
        <v>340</v>
      </c>
      <c r="Z9" s="74" t="s">
        <v>340</v>
      </c>
      <c r="AA9" s="167" t="s">
        <v>651</v>
      </c>
      <c r="AB9" s="74" t="s">
        <v>340</v>
      </c>
      <c r="AC9" s="166">
        <v>45897</v>
      </c>
      <c r="AD9" s="166">
        <v>45897</v>
      </c>
      <c r="AE9" s="72" t="s">
        <v>431</v>
      </c>
      <c r="AF9" s="154" t="s">
        <v>653</v>
      </c>
      <c r="AG9" s="74"/>
      <c r="AH9" s="74"/>
      <c r="AI9" s="173" t="s">
        <v>715</v>
      </c>
      <c r="AK9" s="66" t="e">
        <v>#VALUE!</v>
      </c>
      <c r="AL9" s="66" t="e">
        <v>#VALUE!</v>
      </c>
      <c r="AM9" s="66" t="e">
        <v>#N/A</v>
      </c>
      <c r="AN9" s="66" t="e">
        <v>#VALUE!</v>
      </c>
      <c r="AO9" s="66" t="e">
        <v>#VALUE!</v>
      </c>
      <c r="AP9" s="66" t="e">
        <v>#N/A</v>
      </c>
      <c r="AQ9" s="66" t="e">
        <v>#VALUE!</v>
      </c>
      <c r="AR9" s="66" t="e">
        <v>#VALUE!</v>
      </c>
      <c r="AS9" s="66" t="e">
        <v>#N/A</v>
      </c>
      <c r="AU9" s="188">
        <v>19009</v>
      </c>
      <c r="AW9" s="66" t="b">
        <f t="shared" si="0"/>
        <v>0</v>
      </c>
    </row>
    <row r="10" spans="2:49" ht="64" x14ac:dyDescent="0.2">
      <c r="B10" s="144">
        <v>5</v>
      </c>
      <c r="C10" s="74" t="s">
        <v>49</v>
      </c>
      <c r="D10" s="145" t="s">
        <v>221</v>
      </c>
      <c r="E10" s="208">
        <v>18918</v>
      </c>
      <c r="F10" s="156" t="s">
        <v>230</v>
      </c>
      <c r="G10" s="129">
        <v>15661471447</v>
      </c>
      <c r="H10" s="146" t="s">
        <v>0</v>
      </c>
      <c r="I10" s="146" t="s">
        <v>365</v>
      </c>
      <c r="J10" s="145" t="s">
        <v>434</v>
      </c>
      <c r="K10" s="130">
        <v>15656970902</v>
      </c>
      <c r="L10" s="147" t="s">
        <v>357</v>
      </c>
      <c r="M10" s="146" t="s">
        <v>435</v>
      </c>
      <c r="N10" s="74" t="s">
        <v>436</v>
      </c>
      <c r="O10" s="74" t="s">
        <v>340</v>
      </c>
      <c r="P10" s="74" t="s">
        <v>340</v>
      </c>
      <c r="Q10" s="74" t="s">
        <v>340</v>
      </c>
      <c r="R10" s="74" t="s">
        <v>340</v>
      </c>
      <c r="S10" s="167" t="s">
        <v>651</v>
      </c>
      <c r="T10" s="74" t="s">
        <v>340</v>
      </c>
      <c r="U10" s="74" t="s">
        <v>340</v>
      </c>
      <c r="V10" s="74" t="s">
        <v>340</v>
      </c>
      <c r="W10" s="74" t="s">
        <v>340</v>
      </c>
      <c r="X10" s="74" t="s">
        <v>340</v>
      </c>
      <c r="Y10" s="74" t="s">
        <v>340</v>
      </c>
      <c r="Z10" s="74" t="s">
        <v>342</v>
      </c>
      <c r="AA10" s="167" t="s">
        <v>651</v>
      </c>
      <c r="AB10" s="74"/>
      <c r="AC10" s="166">
        <v>45897</v>
      </c>
      <c r="AD10" s="166">
        <v>45897</v>
      </c>
      <c r="AE10" s="72" t="s">
        <v>427</v>
      </c>
      <c r="AF10" s="154" t="s">
        <v>654</v>
      </c>
      <c r="AG10" s="158"/>
      <c r="AH10" s="74"/>
      <c r="AI10" s="173" t="s">
        <v>716</v>
      </c>
      <c r="AK10" s="66" t="e">
        <v>#VALUE!</v>
      </c>
      <c r="AL10" s="66" t="e">
        <v>#VALUE!</v>
      </c>
      <c r="AM10" s="66" t="e">
        <v>#N/A</v>
      </c>
      <c r="AN10" s="66" t="e">
        <v>#VALUE!</v>
      </c>
      <c r="AO10" s="66" t="e">
        <v>#VALUE!</v>
      </c>
      <c r="AP10" s="66" t="e">
        <v>#N/A</v>
      </c>
      <c r="AQ10" s="66" t="e">
        <v>#VALUE!</v>
      </c>
      <c r="AR10" s="66" t="e">
        <v>#VALUE!</v>
      </c>
      <c r="AS10" s="66" t="e">
        <v>#N/A</v>
      </c>
      <c r="AU10" s="188">
        <v>18946</v>
      </c>
      <c r="AW10" s="66" t="b">
        <f t="shared" si="0"/>
        <v>0</v>
      </c>
    </row>
    <row r="11" spans="2:49" ht="51" x14ac:dyDescent="0.2">
      <c r="B11" s="144">
        <v>6</v>
      </c>
      <c r="C11" s="74" t="s">
        <v>65</v>
      </c>
      <c r="D11" s="145" t="s">
        <v>248</v>
      </c>
      <c r="E11" s="212">
        <v>18996</v>
      </c>
      <c r="F11" s="156" t="s">
        <v>252</v>
      </c>
      <c r="G11" s="129">
        <v>5045473784</v>
      </c>
      <c r="H11" s="146" t="s">
        <v>0</v>
      </c>
      <c r="I11" s="146" t="s">
        <v>365</v>
      </c>
      <c r="J11" s="145" t="s">
        <v>717</v>
      </c>
      <c r="K11" s="130">
        <v>5045473784</v>
      </c>
      <c r="L11" s="147" t="s">
        <v>357</v>
      </c>
      <c r="M11" s="146" t="s">
        <v>459</v>
      </c>
      <c r="N11" s="74" t="s">
        <v>458</v>
      </c>
      <c r="O11" s="74"/>
      <c r="P11" s="74"/>
      <c r="Q11" s="74"/>
      <c r="R11" s="74"/>
      <c r="S11" s="74"/>
      <c r="T11" s="74"/>
      <c r="U11" s="74"/>
      <c r="V11" s="74"/>
      <c r="W11" s="74"/>
      <c r="X11" s="74"/>
      <c r="Y11" s="74"/>
      <c r="Z11" s="74"/>
      <c r="AA11" s="74"/>
      <c r="AB11" s="74"/>
      <c r="AC11" s="166">
        <v>45901</v>
      </c>
      <c r="AD11" s="166"/>
      <c r="AE11" s="72" t="s">
        <v>482</v>
      </c>
      <c r="AF11" s="154" t="s">
        <v>949</v>
      </c>
      <c r="AG11" s="74"/>
      <c r="AH11" s="74"/>
      <c r="AI11" s="173" t="s">
        <v>718</v>
      </c>
      <c r="AJ11" s="205"/>
      <c r="AK11" s="66" t="e">
        <v>#VALUE!</v>
      </c>
      <c r="AL11" s="66" t="e">
        <v>#VALUE!</v>
      </c>
      <c r="AM11" s="66" t="e">
        <v>#N/A</v>
      </c>
      <c r="AN11" s="66" t="e">
        <v>#VALUE!</v>
      </c>
      <c r="AO11" s="66" t="e">
        <v>#VALUE!</v>
      </c>
      <c r="AP11" s="66" t="e">
        <v>#N/A</v>
      </c>
      <c r="AQ11" s="66" t="e">
        <v>#VALUE!</v>
      </c>
      <c r="AR11" s="66" t="e">
        <v>#VALUE!</v>
      </c>
      <c r="AS11" s="66" t="e">
        <v>#N/A</v>
      </c>
      <c r="AU11" s="188">
        <v>18928</v>
      </c>
      <c r="AW11" s="66" t="b">
        <f t="shared" si="0"/>
        <v>0</v>
      </c>
    </row>
    <row r="12" spans="2:49" ht="80" x14ac:dyDescent="0.2">
      <c r="B12" s="144">
        <v>7</v>
      </c>
      <c r="C12" s="74" t="s">
        <v>65</v>
      </c>
      <c r="D12" s="145" t="s">
        <v>234</v>
      </c>
      <c r="E12" s="212">
        <v>19000</v>
      </c>
      <c r="F12" s="156" t="s">
        <v>238</v>
      </c>
      <c r="G12" s="129">
        <v>3868314995</v>
      </c>
      <c r="H12" s="146" t="s">
        <v>0</v>
      </c>
      <c r="I12" s="146" t="s">
        <v>365</v>
      </c>
      <c r="J12" s="145" t="s">
        <v>473</v>
      </c>
      <c r="K12" s="130">
        <v>11621192881</v>
      </c>
      <c r="L12" s="147" t="s">
        <v>357</v>
      </c>
      <c r="M12" s="146" t="s">
        <v>474</v>
      </c>
      <c r="N12" s="74" t="s">
        <v>472</v>
      </c>
      <c r="O12" s="74"/>
      <c r="P12" s="74"/>
      <c r="Q12" s="74"/>
      <c r="R12" s="74"/>
      <c r="S12" s="74"/>
      <c r="T12" s="74"/>
      <c r="U12" s="74"/>
      <c r="V12" s="74"/>
      <c r="W12" s="74"/>
      <c r="X12" s="74"/>
      <c r="Y12" s="74"/>
      <c r="Z12" s="74"/>
      <c r="AA12" s="74"/>
      <c r="AB12" s="74"/>
      <c r="AC12" s="166">
        <v>45908</v>
      </c>
      <c r="AD12" s="74"/>
      <c r="AE12" s="72" t="s">
        <v>426</v>
      </c>
      <c r="AF12" s="154" t="s">
        <v>951</v>
      </c>
      <c r="AG12" s="74"/>
      <c r="AH12" s="74"/>
      <c r="AI12" s="173" t="s">
        <v>720</v>
      </c>
      <c r="AJ12" s="205" t="s">
        <v>721</v>
      </c>
      <c r="AK12" s="66" t="e">
        <v>#VALUE!</v>
      </c>
      <c r="AL12" s="66" t="e">
        <v>#VALUE!</v>
      </c>
      <c r="AM12" s="66" t="e">
        <v>#N/A</v>
      </c>
      <c r="AN12" s="66" t="e">
        <v>#VALUE!</v>
      </c>
      <c r="AO12" s="66" t="e">
        <v>#VALUE!</v>
      </c>
      <c r="AP12" s="66" t="e">
        <v>#N/A</v>
      </c>
      <c r="AQ12" s="66" t="e">
        <v>#VALUE!</v>
      </c>
      <c r="AR12" s="66" t="e">
        <v>#VALUE!</v>
      </c>
      <c r="AS12" s="66" t="e">
        <v>#N/A</v>
      </c>
      <c r="AU12" s="188">
        <v>18930</v>
      </c>
      <c r="AW12" s="66" t="b">
        <f t="shared" si="0"/>
        <v>0</v>
      </c>
    </row>
    <row r="13" spans="2:49" ht="80" x14ac:dyDescent="0.2">
      <c r="B13" s="144">
        <v>8</v>
      </c>
      <c r="C13" s="74" t="s">
        <v>65</v>
      </c>
      <c r="D13" s="145" t="s">
        <v>241</v>
      </c>
      <c r="E13" s="212">
        <v>18998</v>
      </c>
      <c r="F13" s="74" t="s">
        <v>246</v>
      </c>
      <c r="G13" s="129">
        <v>403637903</v>
      </c>
      <c r="H13" s="146" t="s">
        <v>0</v>
      </c>
      <c r="I13" s="146" t="s">
        <v>365</v>
      </c>
      <c r="J13" s="145" t="s">
        <v>484</v>
      </c>
      <c r="K13" s="130">
        <v>403605567</v>
      </c>
      <c r="L13" s="147" t="s">
        <v>358</v>
      </c>
      <c r="M13" s="146" t="s">
        <v>485</v>
      </c>
      <c r="N13" s="74" t="s">
        <v>483</v>
      </c>
      <c r="O13" s="74"/>
      <c r="P13" s="74"/>
      <c r="Q13" s="74"/>
      <c r="R13" s="74"/>
      <c r="S13" s="74"/>
      <c r="T13" s="74"/>
      <c r="U13" s="74"/>
      <c r="V13" s="74"/>
      <c r="W13" s="74"/>
      <c r="X13" s="74"/>
      <c r="Y13" s="74"/>
      <c r="Z13" s="74"/>
      <c r="AA13" s="74"/>
      <c r="AB13" s="74"/>
      <c r="AC13" s="166">
        <v>45909</v>
      </c>
      <c r="AD13" s="74"/>
      <c r="AE13" s="72" t="s">
        <v>428</v>
      </c>
      <c r="AF13" s="154" t="s">
        <v>752</v>
      </c>
      <c r="AG13" s="74"/>
      <c r="AH13" s="74"/>
      <c r="AI13" s="173" t="s">
        <v>719</v>
      </c>
      <c r="AJ13" s="66" t="s">
        <v>721</v>
      </c>
      <c r="AK13" s="66" t="e">
        <v>#VALUE!</v>
      </c>
      <c r="AL13" s="66" t="e">
        <v>#VALUE!</v>
      </c>
      <c r="AM13" s="66" t="e">
        <v>#N/A</v>
      </c>
      <c r="AN13" s="66" t="e">
        <v>#VALUE!</v>
      </c>
      <c r="AO13" s="66" t="e">
        <v>#VALUE!</v>
      </c>
      <c r="AP13" s="66" t="e">
        <v>#N/A</v>
      </c>
      <c r="AQ13" s="66" t="e">
        <v>#VALUE!</v>
      </c>
      <c r="AR13" s="66" t="e">
        <v>#VALUE!</v>
      </c>
      <c r="AS13" s="66" t="e">
        <v>#N/A</v>
      </c>
      <c r="AU13" s="188">
        <v>18933</v>
      </c>
      <c r="AW13" s="66" t="b">
        <f t="shared" si="0"/>
        <v>0</v>
      </c>
    </row>
    <row r="14" spans="2:49" ht="51" x14ac:dyDescent="0.2">
      <c r="B14" s="144">
        <v>9</v>
      </c>
      <c r="C14" s="74" t="s">
        <v>76</v>
      </c>
      <c r="D14" s="145" t="s">
        <v>287</v>
      </c>
      <c r="E14" s="212">
        <v>19143</v>
      </c>
      <c r="F14" s="74" t="s">
        <v>295</v>
      </c>
      <c r="G14" s="129">
        <v>76024472789</v>
      </c>
      <c r="H14" s="146" t="s">
        <v>0</v>
      </c>
      <c r="I14" s="146" t="s">
        <v>365</v>
      </c>
      <c r="J14" s="145" t="s">
        <v>509</v>
      </c>
      <c r="K14" s="130">
        <v>71225128177</v>
      </c>
      <c r="L14" s="147" t="s">
        <v>288</v>
      </c>
      <c r="M14" s="146" t="s">
        <v>433</v>
      </c>
      <c r="N14" s="74" t="s">
        <v>510</v>
      </c>
      <c r="O14" s="74"/>
      <c r="P14" s="74"/>
      <c r="Q14" s="74"/>
      <c r="R14" s="74"/>
      <c r="S14" s="74"/>
      <c r="T14" s="74"/>
      <c r="U14" s="74"/>
      <c r="V14" s="74"/>
      <c r="W14" s="74"/>
      <c r="X14" s="74"/>
      <c r="Y14" s="74"/>
      <c r="Z14" s="74"/>
      <c r="AA14" s="74"/>
      <c r="AB14" s="74"/>
      <c r="AC14" s="166">
        <v>45910</v>
      </c>
      <c r="AD14" s="74"/>
      <c r="AE14" s="72" t="s">
        <v>431</v>
      </c>
      <c r="AF14" s="154" t="s">
        <v>753</v>
      </c>
      <c r="AG14" s="74"/>
      <c r="AH14" s="74"/>
      <c r="AI14" s="173" t="s">
        <v>754</v>
      </c>
      <c r="AJ14" s="66" t="s">
        <v>721</v>
      </c>
      <c r="AK14" s="66" t="e">
        <v>#VALUE!</v>
      </c>
      <c r="AL14" s="66" t="e">
        <v>#VALUE!</v>
      </c>
      <c r="AM14" s="66" t="e">
        <v>#N/A</v>
      </c>
      <c r="AN14" s="66" t="e">
        <v>#VALUE!</v>
      </c>
      <c r="AO14" s="66" t="e">
        <v>#VALUE!</v>
      </c>
      <c r="AP14" s="66" t="e">
        <v>#N/A</v>
      </c>
      <c r="AQ14" s="66" t="e">
        <v>#VALUE!</v>
      </c>
      <c r="AR14" s="66" t="e">
        <v>#VALUE!</v>
      </c>
      <c r="AS14" s="66" t="e">
        <v>#N/A</v>
      </c>
      <c r="AU14" s="188">
        <v>18926</v>
      </c>
      <c r="AW14" s="66" t="b">
        <f t="shared" si="0"/>
        <v>0</v>
      </c>
    </row>
    <row r="15" spans="2:49" ht="51" x14ac:dyDescent="0.2">
      <c r="B15" s="144">
        <v>10</v>
      </c>
      <c r="C15" s="74" t="s">
        <v>76</v>
      </c>
      <c r="D15" s="145" t="s">
        <v>314</v>
      </c>
      <c r="E15" s="212">
        <v>18472</v>
      </c>
      <c r="F15" s="74" t="s">
        <v>318</v>
      </c>
      <c r="G15" s="129">
        <v>6373316503</v>
      </c>
      <c r="H15" s="146" t="s">
        <v>0</v>
      </c>
      <c r="I15" s="146" t="s">
        <v>365</v>
      </c>
      <c r="J15" s="145" t="s">
        <v>521</v>
      </c>
      <c r="K15" s="130">
        <v>4405778333</v>
      </c>
      <c r="L15" s="147" t="s">
        <v>357</v>
      </c>
      <c r="M15" s="146" t="s">
        <v>485</v>
      </c>
      <c r="N15" s="74" t="s">
        <v>522</v>
      </c>
      <c r="O15" s="74"/>
      <c r="P15" s="74"/>
      <c r="Q15" s="74"/>
      <c r="R15" s="74"/>
      <c r="S15" s="74"/>
      <c r="T15" s="74"/>
      <c r="U15" s="74"/>
      <c r="V15" s="74"/>
      <c r="W15" s="74"/>
      <c r="X15" s="74"/>
      <c r="Y15" s="74"/>
      <c r="Z15" s="74"/>
      <c r="AA15" s="74"/>
      <c r="AB15" s="74"/>
      <c r="AC15" s="166">
        <v>45911</v>
      </c>
      <c r="AD15" s="74"/>
      <c r="AE15" s="72" t="s">
        <v>428</v>
      </c>
      <c r="AF15" s="154" t="s">
        <v>763</v>
      </c>
      <c r="AG15" s="74"/>
      <c r="AH15" s="74"/>
      <c r="AI15" s="173" t="s">
        <v>764</v>
      </c>
      <c r="AJ15" s="66" t="s">
        <v>721</v>
      </c>
      <c r="AK15" s="66" t="e">
        <v>#VALUE!</v>
      </c>
      <c r="AL15" s="66" t="e">
        <v>#VALUE!</v>
      </c>
      <c r="AM15" s="66" t="e">
        <v>#N/A</v>
      </c>
      <c r="AN15" s="66" t="e">
        <v>#VALUE!</v>
      </c>
      <c r="AO15" s="66" t="e">
        <v>#VALUE!</v>
      </c>
      <c r="AP15" s="66" t="e">
        <v>#N/A</v>
      </c>
      <c r="AQ15" s="66" t="e">
        <v>#VALUE!</v>
      </c>
      <c r="AR15" s="66" t="e">
        <v>#VALUE!</v>
      </c>
      <c r="AS15" s="66" t="e">
        <v>#N/A</v>
      </c>
      <c r="AU15" s="188">
        <v>19009</v>
      </c>
      <c r="AW15" s="66" t="b">
        <f t="shared" si="0"/>
        <v>0</v>
      </c>
    </row>
    <row r="16" spans="2:49" ht="51" x14ac:dyDescent="0.2">
      <c r="B16" s="144">
        <v>11</v>
      </c>
      <c r="C16" s="74" t="s">
        <v>76</v>
      </c>
      <c r="D16" s="145" t="s">
        <v>306</v>
      </c>
      <c r="E16" s="212">
        <v>18978</v>
      </c>
      <c r="F16" s="74" t="s">
        <v>312</v>
      </c>
      <c r="G16" s="129">
        <v>32527849269</v>
      </c>
      <c r="H16" s="146" t="s">
        <v>0</v>
      </c>
      <c r="I16" s="146" t="s">
        <v>365</v>
      </c>
      <c r="J16" s="145" t="s">
        <v>530</v>
      </c>
      <c r="K16" s="130">
        <v>32642128287</v>
      </c>
      <c r="L16" s="147" t="s">
        <v>357</v>
      </c>
      <c r="M16" s="146" t="s">
        <v>531</v>
      </c>
      <c r="N16" s="74" t="s">
        <v>532</v>
      </c>
      <c r="O16" s="74"/>
      <c r="P16" s="74"/>
      <c r="Q16" s="74"/>
      <c r="R16" s="74"/>
      <c r="S16" s="74"/>
      <c r="T16" s="74"/>
      <c r="U16" s="74"/>
      <c r="V16" s="74"/>
      <c r="W16" s="74"/>
      <c r="X16" s="74"/>
      <c r="Y16" s="74"/>
      <c r="Z16" s="74"/>
      <c r="AA16" s="74"/>
      <c r="AB16" s="74"/>
      <c r="AC16" s="166">
        <v>45912</v>
      </c>
      <c r="AD16" s="74"/>
      <c r="AE16" s="72" t="s">
        <v>428</v>
      </c>
      <c r="AF16" s="154" t="s">
        <v>954</v>
      </c>
      <c r="AG16" s="74"/>
      <c r="AH16" s="74"/>
      <c r="AI16" s="173" t="s">
        <v>765</v>
      </c>
      <c r="AJ16" s="207" t="s">
        <v>721</v>
      </c>
      <c r="AK16" s="66" t="e">
        <v>#VALUE!</v>
      </c>
      <c r="AL16" s="66" t="e">
        <v>#VALUE!</v>
      </c>
      <c r="AM16" s="66" t="e">
        <v>#N/A</v>
      </c>
      <c r="AN16" s="66" t="e">
        <v>#VALUE!</v>
      </c>
      <c r="AO16" s="66" t="e">
        <v>#VALUE!</v>
      </c>
      <c r="AP16" s="66" t="e">
        <v>#N/A</v>
      </c>
      <c r="AQ16" s="66" t="e">
        <v>#VALUE!</v>
      </c>
      <c r="AR16" s="66" t="e">
        <v>#VALUE!</v>
      </c>
      <c r="AS16" s="66" t="e">
        <v>#N/A</v>
      </c>
      <c r="AU16" s="188">
        <v>18996</v>
      </c>
      <c r="AW16" s="66" t="b">
        <f t="shared" si="0"/>
        <v>0</v>
      </c>
    </row>
    <row r="17" spans="2:49" ht="51" x14ac:dyDescent="0.2">
      <c r="B17" s="144">
        <v>12</v>
      </c>
      <c r="C17" s="74" t="s">
        <v>76</v>
      </c>
      <c r="D17" s="145" t="s">
        <v>278</v>
      </c>
      <c r="E17" s="212">
        <v>19194</v>
      </c>
      <c r="F17" s="74" t="s">
        <v>284</v>
      </c>
      <c r="G17" s="129">
        <v>810601805</v>
      </c>
      <c r="H17" s="146"/>
      <c r="I17" s="146"/>
      <c r="J17" s="145" t="s">
        <v>539</v>
      </c>
      <c r="K17" s="130">
        <v>810600664</v>
      </c>
      <c r="L17" s="147" t="s">
        <v>542</v>
      </c>
      <c r="M17" s="146" t="s">
        <v>435</v>
      </c>
      <c r="N17" s="74" t="s">
        <v>540</v>
      </c>
      <c r="O17" s="74"/>
      <c r="P17" s="74"/>
      <c r="Q17" s="74"/>
      <c r="R17" s="74"/>
      <c r="S17" s="74"/>
      <c r="T17" s="74"/>
      <c r="U17" s="74"/>
      <c r="V17" s="74"/>
      <c r="W17" s="74"/>
      <c r="X17" s="74"/>
      <c r="Y17" s="74"/>
      <c r="Z17" s="74"/>
      <c r="AA17" s="74"/>
      <c r="AB17" s="74"/>
      <c r="AC17" s="166">
        <v>45902</v>
      </c>
      <c r="AD17" s="74"/>
      <c r="AE17" s="72" t="s">
        <v>482</v>
      </c>
      <c r="AF17" s="154" t="s">
        <v>803</v>
      </c>
      <c r="AG17" s="74"/>
      <c r="AH17" s="74"/>
      <c r="AI17" s="173" t="s">
        <v>780</v>
      </c>
      <c r="AJ17" s="205" t="s">
        <v>721</v>
      </c>
      <c r="AK17" s="66" t="e">
        <v>#VALUE!</v>
      </c>
      <c r="AL17" s="66" t="e">
        <v>#VALUE!</v>
      </c>
      <c r="AM17" s="66" t="e">
        <v>#N/A</v>
      </c>
      <c r="AN17" s="66" t="e">
        <v>#VALUE!</v>
      </c>
      <c r="AO17" s="66" t="e">
        <v>#VALUE!</v>
      </c>
      <c r="AP17" s="66" t="e">
        <v>#N/A</v>
      </c>
      <c r="AQ17" s="66" t="e">
        <v>#VALUE!</v>
      </c>
      <c r="AR17" s="66" t="e">
        <v>#VALUE!</v>
      </c>
      <c r="AS17" s="66" t="e">
        <v>#N/A</v>
      </c>
      <c r="AU17" s="188">
        <v>18998</v>
      </c>
      <c r="AW17" s="66" t="b">
        <f t="shared" si="0"/>
        <v>0</v>
      </c>
    </row>
    <row r="18" spans="2:49" ht="51" x14ac:dyDescent="0.2">
      <c r="B18" s="144">
        <v>13</v>
      </c>
      <c r="C18" s="74" t="s">
        <v>76</v>
      </c>
      <c r="D18" s="145" t="s">
        <v>299</v>
      </c>
      <c r="E18" s="212">
        <v>18984</v>
      </c>
      <c r="F18" s="74" t="s">
        <v>304</v>
      </c>
      <c r="G18" s="129">
        <v>3627613990</v>
      </c>
      <c r="H18" s="146" t="s">
        <v>0</v>
      </c>
      <c r="I18" s="146" t="s">
        <v>365</v>
      </c>
      <c r="J18" s="145" t="s">
        <v>551</v>
      </c>
      <c r="K18" s="130">
        <v>1997367884</v>
      </c>
      <c r="L18" s="147" t="s">
        <v>543</v>
      </c>
      <c r="M18" s="146" t="s">
        <v>531</v>
      </c>
      <c r="N18" s="74" t="s">
        <v>550</v>
      </c>
      <c r="O18" s="74"/>
      <c r="P18" s="74"/>
      <c r="Q18" s="74"/>
      <c r="R18" s="74"/>
      <c r="S18" s="74"/>
      <c r="T18" s="74"/>
      <c r="U18" s="74"/>
      <c r="V18" s="74"/>
      <c r="W18" s="74"/>
      <c r="X18" s="74"/>
      <c r="Y18" s="74"/>
      <c r="Z18" s="74"/>
      <c r="AA18" s="74"/>
      <c r="AB18" s="74"/>
      <c r="AC18" s="175">
        <v>45903</v>
      </c>
      <c r="AD18" s="74"/>
      <c r="AE18" s="72" t="s">
        <v>482</v>
      </c>
      <c r="AF18" s="154" t="s">
        <v>825</v>
      </c>
      <c r="AG18" s="74"/>
      <c r="AH18" s="74"/>
      <c r="AI18" s="173" t="s">
        <v>804</v>
      </c>
      <c r="AJ18" s="66" t="s">
        <v>721</v>
      </c>
      <c r="AK18" s="66" t="e">
        <v>#VALUE!</v>
      </c>
      <c r="AL18" s="66" t="e">
        <v>#VALUE!</v>
      </c>
      <c r="AM18" s="66" t="e">
        <v>#N/A</v>
      </c>
      <c r="AN18" s="66" t="e">
        <v>#VALUE!</v>
      </c>
      <c r="AO18" s="66" t="e">
        <v>#VALUE!</v>
      </c>
      <c r="AP18" s="66" t="e">
        <v>#N/A</v>
      </c>
      <c r="AQ18" s="66" t="e">
        <v>#VALUE!</v>
      </c>
      <c r="AR18" s="66" t="e">
        <v>#VALUE!</v>
      </c>
      <c r="AS18" s="66" t="e">
        <v>#N/A</v>
      </c>
      <c r="AU18" s="188">
        <v>19000</v>
      </c>
      <c r="AW18" s="66" t="b">
        <f t="shared" si="0"/>
        <v>0</v>
      </c>
    </row>
    <row r="19" spans="2:49" ht="64" x14ac:dyDescent="0.2">
      <c r="B19" s="144">
        <v>14</v>
      </c>
      <c r="C19" s="74" t="s">
        <v>79</v>
      </c>
      <c r="D19" s="145" t="s">
        <v>330</v>
      </c>
      <c r="E19" s="212">
        <v>18986</v>
      </c>
      <c r="F19" s="74" t="s">
        <v>332</v>
      </c>
      <c r="G19" s="129">
        <v>1176046140</v>
      </c>
      <c r="H19" s="146" t="s">
        <v>0</v>
      </c>
      <c r="I19" s="146" t="s">
        <v>365</v>
      </c>
      <c r="J19" s="145" t="s">
        <v>552</v>
      </c>
      <c r="K19" s="130">
        <v>1176046140</v>
      </c>
      <c r="L19" s="147" t="s">
        <v>542</v>
      </c>
      <c r="M19" s="146" t="s">
        <v>474</v>
      </c>
      <c r="N19" s="74" t="s">
        <v>553</v>
      </c>
      <c r="O19" s="74"/>
      <c r="P19" s="74"/>
      <c r="Q19" s="74"/>
      <c r="R19" s="74"/>
      <c r="S19" s="74"/>
      <c r="T19" s="74"/>
      <c r="U19" s="74"/>
      <c r="V19" s="74"/>
      <c r="W19" s="74"/>
      <c r="X19" s="74"/>
      <c r="Y19" s="74"/>
      <c r="Z19" s="74"/>
      <c r="AA19" s="74"/>
      <c r="AB19" s="74"/>
      <c r="AC19" s="175">
        <v>45905</v>
      </c>
      <c r="AD19" s="74"/>
      <c r="AE19" s="72" t="s">
        <v>428</v>
      </c>
      <c r="AF19" s="154" t="s">
        <v>839</v>
      </c>
      <c r="AG19" s="74"/>
      <c r="AH19" s="74"/>
      <c r="AI19" s="173" t="s">
        <v>840</v>
      </c>
      <c r="AJ19" s="66" t="s">
        <v>721</v>
      </c>
      <c r="AK19" s="66" t="e">
        <v>#VALUE!</v>
      </c>
      <c r="AL19" s="66" t="e">
        <v>#VALUE!</v>
      </c>
      <c r="AM19" s="66" t="e">
        <v>#N/A</v>
      </c>
      <c r="AN19" s="66" t="e">
        <v>#VALUE!</v>
      </c>
      <c r="AO19" s="66" t="e">
        <v>#VALUE!</v>
      </c>
      <c r="AP19" s="66" t="e">
        <v>#N/A</v>
      </c>
      <c r="AQ19" s="66" t="e">
        <v>#VALUE!</v>
      </c>
      <c r="AR19" s="66" t="e">
        <v>#VALUE!</v>
      </c>
      <c r="AS19" s="66" t="e">
        <v>#N/A</v>
      </c>
      <c r="AU19" s="188">
        <v>18910</v>
      </c>
      <c r="AW19" s="66" t="b">
        <f t="shared" si="0"/>
        <v>0</v>
      </c>
    </row>
    <row r="20" spans="2:49" ht="51" x14ac:dyDescent="0.2">
      <c r="B20" s="144">
        <v>15</v>
      </c>
      <c r="C20" s="74" t="s">
        <v>79</v>
      </c>
      <c r="D20" s="145" t="s">
        <v>334</v>
      </c>
      <c r="E20" s="212">
        <v>18970</v>
      </c>
      <c r="F20" s="74" t="s">
        <v>336</v>
      </c>
      <c r="G20" s="129">
        <v>2753325060</v>
      </c>
      <c r="H20" s="146" t="s">
        <v>0</v>
      </c>
      <c r="I20" s="146" t="s">
        <v>365</v>
      </c>
      <c r="J20" s="145" t="s">
        <v>561</v>
      </c>
      <c r="K20" s="130">
        <v>2753325060</v>
      </c>
      <c r="L20" s="147" t="s">
        <v>545</v>
      </c>
      <c r="M20" s="146" t="s">
        <v>563</v>
      </c>
      <c r="N20" s="74" t="s">
        <v>562</v>
      </c>
      <c r="O20" s="74"/>
      <c r="P20" s="74"/>
      <c r="Q20" s="74"/>
      <c r="R20" s="74"/>
      <c r="S20" s="74"/>
      <c r="T20" s="74"/>
      <c r="U20" s="74"/>
      <c r="V20" s="74"/>
      <c r="W20" s="74"/>
      <c r="X20" s="74"/>
      <c r="Y20" s="74"/>
      <c r="Z20" s="74"/>
      <c r="AA20" s="74"/>
      <c r="AB20" s="74"/>
      <c r="AC20" s="175">
        <v>45904</v>
      </c>
      <c r="AD20" s="74"/>
      <c r="AE20" s="72" t="s">
        <v>482</v>
      </c>
      <c r="AF20" s="154" t="s">
        <v>854</v>
      </c>
      <c r="AG20" s="74"/>
      <c r="AH20" s="74"/>
      <c r="AI20" s="173" t="s">
        <v>841</v>
      </c>
      <c r="AJ20" s="66" t="s">
        <v>721</v>
      </c>
      <c r="AK20" s="66" t="e">
        <v>#VALUE!</v>
      </c>
      <c r="AL20" s="66" t="e">
        <v>#VALUE!</v>
      </c>
      <c r="AM20" s="66" t="e">
        <v>#N/A</v>
      </c>
      <c r="AN20" s="66" t="e">
        <v>#VALUE!</v>
      </c>
      <c r="AO20" s="66" t="e">
        <v>#VALUE!</v>
      </c>
      <c r="AP20" s="66" t="e">
        <v>#N/A</v>
      </c>
      <c r="AQ20" s="66" t="e">
        <v>#VALUE!</v>
      </c>
      <c r="AR20" s="66" t="e">
        <v>#VALUE!</v>
      </c>
      <c r="AS20" s="66" t="e">
        <v>#N/A</v>
      </c>
      <c r="AU20" s="188" t="s">
        <v>75</v>
      </c>
      <c r="AW20" s="66" t="b">
        <f t="shared" si="0"/>
        <v>0</v>
      </c>
    </row>
    <row r="21" spans="2:49" ht="51" x14ac:dyDescent="0.2">
      <c r="B21" s="144">
        <v>16</v>
      </c>
      <c r="C21" s="74" t="s">
        <v>79</v>
      </c>
      <c r="D21" s="145" t="s">
        <v>322</v>
      </c>
      <c r="E21" s="212">
        <v>19383</v>
      </c>
      <c r="F21" s="74" t="s">
        <v>327</v>
      </c>
      <c r="G21" s="129">
        <v>2400326473</v>
      </c>
      <c r="H21" s="146" t="s">
        <v>0</v>
      </c>
      <c r="I21" s="146" t="s">
        <v>365</v>
      </c>
      <c r="J21" s="145" t="s">
        <v>569</v>
      </c>
      <c r="K21" s="130">
        <v>2400326473</v>
      </c>
      <c r="L21" s="147" t="s">
        <v>545</v>
      </c>
      <c r="M21" s="146" t="s">
        <v>855</v>
      </c>
      <c r="N21" s="74" t="s">
        <v>570</v>
      </c>
      <c r="O21" s="74"/>
      <c r="P21" s="74"/>
      <c r="Q21" s="74"/>
      <c r="R21" s="74"/>
      <c r="S21" s="74"/>
      <c r="T21" s="74"/>
      <c r="U21" s="74"/>
      <c r="V21" s="74"/>
      <c r="W21" s="74"/>
      <c r="X21" s="74"/>
      <c r="Y21" s="74"/>
      <c r="Z21" s="74"/>
      <c r="AA21" s="74"/>
      <c r="AB21" s="74"/>
      <c r="AC21" s="175">
        <v>45905</v>
      </c>
      <c r="AD21" s="74"/>
      <c r="AE21" s="72" t="s">
        <v>482</v>
      </c>
      <c r="AF21" s="154" t="s">
        <v>876</v>
      </c>
      <c r="AG21" s="74"/>
      <c r="AH21" s="74"/>
      <c r="AI21" s="173" t="s">
        <v>856</v>
      </c>
      <c r="AK21" s="66" t="e">
        <v>#VALUE!</v>
      </c>
      <c r="AL21" s="66" t="e">
        <v>#VALUE!</v>
      </c>
      <c r="AM21" s="66" t="e">
        <v>#N/A</v>
      </c>
      <c r="AN21" s="66" t="e">
        <v>#VALUE!</v>
      </c>
      <c r="AO21" s="66" t="e">
        <v>#VALUE!</v>
      </c>
      <c r="AP21" s="66" t="e">
        <v>#VALUE!</v>
      </c>
      <c r="AQ21" s="66" t="e">
        <v>#VALUE!</v>
      </c>
      <c r="AR21" s="66" t="e">
        <v>#VALUE!</v>
      </c>
      <c r="AS21" s="66" t="e">
        <v>#N/A</v>
      </c>
      <c r="AU21" s="188">
        <v>18978</v>
      </c>
      <c r="AW21" s="66" t="b">
        <f t="shared" si="0"/>
        <v>0</v>
      </c>
    </row>
    <row r="22" spans="2:49" ht="177" thickBot="1" x14ac:dyDescent="0.25">
      <c r="B22" s="148">
        <v>17</v>
      </c>
      <c r="C22" s="119" t="s">
        <v>68</v>
      </c>
      <c r="D22" s="149" t="s">
        <v>256</v>
      </c>
      <c r="E22" s="214">
        <v>18910</v>
      </c>
      <c r="F22" s="119" t="s">
        <v>262</v>
      </c>
      <c r="G22" s="135">
        <v>9500000000</v>
      </c>
      <c r="H22" s="150" t="s">
        <v>0</v>
      </c>
      <c r="I22" s="150" t="s">
        <v>365</v>
      </c>
      <c r="J22" s="149" t="s">
        <v>572</v>
      </c>
      <c r="K22" s="136">
        <v>9499999990</v>
      </c>
      <c r="L22" s="151" t="s">
        <v>545</v>
      </c>
      <c r="M22" s="150" t="s">
        <v>459</v>
      </c>
      <c r="N22" s="119" t="s">
        <v>573</v>
      </c>
      <c r="O22" s="119"/>
      <c r="P22" s="119"/>
      <c r="Q22" s="119"/>
      <c r="R22" s="119"/>
      <c r="S22" s="119"/>
      <c r="T22" s="119"/>
      <c r="U22" s="119"/>
      <c r="V22" s="119"/>
      <c r="W22" s="119"/>
      <c r="X22" s="119"/>
      <c r="Y22" s="119"/>
      <c r="Z22" s="119"/>
      <c r="AA22" s="119"/>
      <c r="AB22" s="119"/>
      <c r="AC22" s="175">
        <v>45909</v>
      </c>
      <c r="AD22" s="119"/>
      <c r="AE22" s="88" t="s">
        <v>427</v>
      </c>
      <c r="AF22" s="155" t="s">
        <v>878</v>
      </c>
      <c r="AG22" s="119"/>
      <c r="AH22" s="119"/>
      <c r="AI22" s="174" t="s">
        <v>877</v>
      </c>
      <c r="AK22" s="66" t="e">
        <v>#VALUE!</v>
      </c>
      <c r="AL22" s="66" t="e">
        <v>#VALUE!</v>
      </c>
      <c r="AM22" s="66" t="e">
        <v>#N/A</v>
      </c>
      <c r="AN22" s="66" t="e">
        <v>#VALUE!</v>
      </c>
      <c r="AO22" s="66" t="e">
        <v>#VALUE!</v>
      </c>
      <c r="AP22" s="66" t="e">
        <v>#N/A</v>
      </c>
      <c r="AQ22" s="66" t="e">
        <v>#VALUE!</v>
      </c>
      <c r="AR22" s="66" t="e">
        <v>#VALUE!</v>
      </c>
      <c r="AS22" s="66" t="e">
        <v>#N/A</v>
      </c>
      <c r="AU22" s="188">
        <v>18984</v>
      </c>
      <c r="AW22" s="66" t="b">
        <f t="shared" si="0"/>
        <v>0</v>
      </c>
    </row>
    <row r="23" spans="2:49" x14ac:dyDescent="0.2">
      <c r="K23" s="183">
        <f>SUM(K6:K22)</f>
        <v>166698212533</v>
      </c>
      <c r="AK23" s="66" t="e">
        <v>#N/A</v>
      </c>
      <c r="AL23" s="66" t="e">
        <v>#N/A</v>
      </c>
      <c r="AM23" s="66" t="e">
        <v>#N/A</v>
      </c>
      <c r="AN23" s="66" t="e">
        <v>#N/A</v>
      </c>
      <c r="AO23" s="66" t="e">
        <v>#N/A</v>
      </c>
      <c r="AP23" s="66" t="e">
        <v>#N/A</v>
      </c>
      <c r="AQ23" s="66" t="e">
        <v>#N/A</v>
      </c>
      <c r="AR23" s="66" t="e">
        <v>#N/A</v>
      </c>
      <c r="AS23" s="66" t="e">
        <v>#N/A</v>
      </c>
      <c r="AU23" s="188">
        <v>18472</v>
      </c>
      <c r="AW23" s="66" t="b">
        <f t="shared" si="0"/>
        <v>0</v>
      </c>
    </row>
    <row r="24" spans="2:49" x14ac:dyDescent="0.2">
      <c r="AK24" s="66" t="e">
        <v>#N/A</v>
      </c>
      <c r="AL24" s="66" t="e">
        <v>#N/A</v>
      </c>
      <c r="AM24" s="66" t="e">
        <v>#N/A</v>
      </c>
      <c r="AN24" s="66" t="e">
        <v>#N/A</v>
      </c>
      <c r="AO24" s="66" t="e">
        <v>#N/A</v>
      </c>
      <c r="AP24" s="66" t="e">
        <v>#N/A</v>
      </c>
      <c r="AQ24" s="66" t="e">
        <v>#N/A</v>
      </c>
      <c r="AR24" s="66" t="e">
        <v>#N/A</v>
      </c>
      <c r="AS24" s="66" t="e">
        <v>#N/A</v>
      </c>
      <c r="AU24" s="188">
        <v>18978</v>
      </c>
      <c r="AW24" s="66" t="b">
        <f t="shared" si="0"/>
        <v>0</v>
      </c>
    </row>
    <row r="25" spans="2:49" x14ac:dyDescent="0.2">
      <c r="AK25" s="66" t="e">
        <v>#N/A</v>
      </c>
      <c r="AL25" s="66" t="e">
        <v>#N/A</v>
      </c>
      <c r="AM25" s="66" t="e">
        <v>#N/A</v>
      </c>
      <c r="AN25" s="66" t="e">
        <v>#N/A</v>
      </c>
      <c r="AO25" s="66" t="e">
        <v>#N/A</v>
      </c>
      <c r="AP25" s="66" t="e">
        <v>#N/A</v>
      </c>
      <c r="AQ25" s="66" t="e">
        <v>#N/A</v>
      </c>
      <c r="AR25" s="66" t="e">
        <v>#N/A</v>
      </c>
      <c r="AS25" s="66" t="e">
        <v>#N/A</v>
      </c>
      <c r="AU25" s="188">
        <v>19194</v>
      </c>
      <c r="AW25" s="66" t="b">
        <f t="shared" si="0"/>
        <v>0</v>
      </c>
    </row>
    <row r="26" spans="2:49" x14ac:dyDescent="0.2">
      <c r="AK26" s="66" t="e">
        <v>#N/A</v>
      </c>
      <c r="AL26" s="66" t="e">
        <v>#N/A</v>
      </c>
      <c r="AM26" s="66" t="e">
        <v>#N/A</v>
      </c>
      <c r="AN26" s="66" t="e">
        <v>#N/A</v>
      </c>
      <c r="AO26" s="66" t="e">
        <v>#N/A</v>
      </c>
      <c r="AP26" s="66" t="e">
        <v>#N/A</v>
      </c>
      <c r="AQ26" s="66" t="e">
        <v>#N/A</v>
      </c>
      <c r="AR26" s="66" t="e">
        <v>#N/A</v>
      </c>
      <c r="AS26" s="66" t="e">
        <v>#N/A</v>
      </c>
      <c r="AU26" s="188">
        <v>19143</v>
      </c>
      <c r="AW26" s="66" t="b">
        <f t="shared" si="0"/>
        <v>0</v>
      </c>
    </row>
    <row r="27" spans="2:49" x14ac:dyDescent="0.15">
      <c r="C27" s="184" t="s">
        <v>35</v>
      </c>
      <c r="D27" s="185" t="s">
        <v>0</v>
      </c>
      <c r="E27" s="184" t="s">
        <v>36</v>
      </c>
      <c r="F27" s="184" t="s">
        <v>38</v>
      </c>
      <c r="G27" s="184" t="s">
        <v>39</v>
      </c>
      <c r="H27" s="184" t="s">
        <v>40</v>
      </c>
      <c r="I27" s="186" t="s">
        <v>892</v>
      </c>
      <c r="J27" s="187" t="s">
        <v>893</v>
      </c>
      <c r="K27" s="184" t="s">
        <v>41</v>
      </c>
      <c r="AK27" s="66" t="e">
        <v>#N/A</v>
      </c>
      <c r="AL27" s="66" t="e">
        <v>#N/A</v>
      </c>
      <c r="AM27" s="66" t="e">
        <v>#N/A</v>
      </c>
      <c r="AN27" s="66" t="e">
        <v>#N/A</v>
      </c>
      <c r="AO27" s="66" t="e">
        <v>#N/A</v>
      </c>
      <c r="AP27" s="66" t="e">
        <v>#N/A</v>
      </c>
      <c r="AQ27" s="66" t="e">
        <v>#N/A</v>
      </c>
      <c r="AR27" s="66" t="e">
        <v>#N/A</v>
      </c>
      <c r="AS27" s="66" t="e">
        <v>#N/A</v>
      </c>
      <c r="AU27" s="188">
        <v>19143</v>
      </c>
      <c r="AW27" s="66" t="b">
        <f t="shared" si="0"/>
        <v>0</v>
      </c>
    </row>
    <row r="28" spans="2:49" x14ac:dyDescent="0.15">
      <c r="B28" s="75">
        <v>1</v>
      </c>
      <c r="C28" s="188" t="s">
        <v>42</v>
      </c>
      <c r="D28" s="189" t="s">
        <v>34</v>
      </c>
      <c r="E28" s="59">
        <v>26005340</v>
      </c>
      <c r="F28" s="190" t="s">
        <v>44</v>
      </c>
      <c r="G28" s="51" t="s">
        <v>45</v>
      </c>
      <c r="H28" s="209">
        <v>18889</v>
      </c>
      <c r="I28" s="191" t="s">
        <v>202</v>
      </c>
      <c r="J28" s="51" t="s">
        <v>482</v>
      </c>
      <c r="K28" s="48">
        <v>5757381578</v>
      </c>
      <c r="AK28" s="66" t="e">
        <v>#N/A</v>
      </c>
      <c r="AL28" s="66" t="e">
        <v>#N/A</v>
      </c>
      <c r="AM28" s="66" t="e">
        <v>#N/A</v>
      </c>
      <c r="AN28" s="66" t="e">
        <v>#N/A</v>
      </c>
      <c r="AO28" s="66" t="e">
        <v>#N/A</v>
      </c>
      <c r="AP28" s="66" t="e">
        <v>#N/A</v>
      </c>
      <c r="AQ28" s="66" t="e">
        <v>#N/A</v>
      </c>
      <c r="AR28" s="66" t="e">
        <v>#N/A</v>
      </c>
      <c r="AS28" s="66" t="e">
        <v>#N/A</v>
      </c>
      <c r="AU28" s="188">
        <v>18986</v>
      </c>
      <c r="AW28" s="66" t="b">
        <f t="shared" si="0"/>
        <v>0</v>
      </c>
    </row>
    <row r="29" spans="2:49" x14ac:dyDescent="0.15">
      <c r="B29" s="75">
        <v>2</v>
      </c>
      <c r="C29" s="188" t="s">
        <v>42</v>
      </c>
      <c r="D29" s="192" t="s">
        <v>34</v>
      </c>
      <c r="E29" s="60">
        <v>26005340</v>
      </c>
      <c r="F29" s="190" t="s">
        <v>46</v>
      </c>
      <c r="G29" s="51" t="s">
        <v>47</v>
      </c>
      <c r="H29" s="209">
        <v>18890</v>
      </c>
      <c r="I29" s="191" t="s">
        <v>187</v>
      </c>
      <c r="J29" s="51" t="s">
        <v>426</v>
      </c>
      <c r="K29" s="48">
        <v>599955458</v>
      </c>
      <c r="AK29" s="66" t="e">
        <v>#N/A</v>
      </c>
      <c r="AL29" s="66" t="e">
        <v>#N/A</v>
      </c>
      <c r="AM29" s="66" t="e">
        <v>#N/A</v>
      </c>
      <c r="AN29" s="66" t="e">
        <v>#N/A</v>
      </c>
      <c r="AO29" s="66" t="e">
        <v>#N/A</v>
      </c>
      <c r="AP29" s="66" t="e">
        <v>#N/A</v>
      </c>
      <c r="AQ29" s="66" t="e">
        <v>#N/A</v>
      </c>
      <c r="AR29" s="66" t="e">
        <v>#N/A</v>
      </c>
      <c r="AS29" s="66" t="e">
        <v>#N/A</v>
      </c>
      <c r="AU29" s="188">
        <v>18970</v>
      </c>
      <c r="AW29" s="66" t="b">
        <f t="shared" si="0"/>
        <v>0</v>
      </c>
    </row>
    <row r="30" spans="2:49" x14ac:dyDescent="0.15">
      <c r="B30" s="75">
        <v>3</v>
      </c>
      <c r="C30" s="188" t="s">
        <v>49</v>
      </c>
      <c r="D30" s="192" t="s">
        <v>34</v>
      </c>
      <c r="E30" s="59">
        <v>26005260</v>
      </c>
      <c r="F30" s="190" t="s">
        <v>51</v>
      </c>
      <c r="G30" s="51" t="s">
        <v>52</v>
      </c>
      <c r="H30" s="209">
        <v>18918</v>
      </c>
      <c r="I30" s="191" t="s">
        <v>230</v>
      </c>
      <c r="J30" s="51" t="s">
        <v>427</v>
      </c>
      <c r="K30" s="48">
        <v>15661471447</v>
      </c>
      <c r="AK30" s="66" t="e">
        <v>#N/A</v>
      </c>
      <c r="AL30" s="66" t="e">
        <v>#N/A</v>
      </c>
      <c r="AM30" s="66" t="e">
        <v>#N/A</v>
      </c>
      <c r="AN30" s="66" t="e">
        <v>#N/A</v>
      </c>
      <c r="AO30" s="66" t="e">
        <v>#N/A</v>
      </c>
      <c r="AP30" s="66" t="e">
        <v>#N/A</v>
      </c>
      <c r="AQ30" s="66" t="e">
        <v>#N/A</v>
      </c>
      <c r="AR30" s="66" t="e">
        <v>#N/A</v>
      </c>
      <c r="AS30" s="66" t="e">
        <v>#N/A</v>
      </c>
      <c r="AU30" s="188">
        <v>18989</v>
      </c>
      <c r="AW30" s="66" t="b">
        <f t="shared" si="0"/>
        <v>0</v>
      </c>
    </row>
    <row r="31" spans="2:49" x14ac:dyDescent="0.15">
      <c r="B31" s="75">
        <v>4</v>
      </c>
      <c r="C31" s="188" t="s">
        <v>49</v>
      </c>
      <c r="D31" s="192" t="s">
        <v>34</v>
      </c>
      <c r="E31" s="60">
        <v>26005260</v>
      </c>
      <c r="F31" s="190" t="s">
        <v>894</v>
      </c>
      <c r="G31" s="210" t="s">
        <v>47</v>
      </c>
      <c r="H31" s="209">
        <v>19009</v>
      </c>
      <c r="I31" s="191" t="s">
        <v>895</v>
      </c>
      <c r="J31" s="51" t="s">
        <v>896</v>
      </c>
      <c r="K31" s="48">
        <v>824287971</v>
      </c>
      <c r="AK31" s="66" t="e">
        <v>#N/A</v>
      </c>
      <c r="AL31" s="66" t="e">
        <v>#N/A</v>
      </c>
      <c r="AM31" s="66" t="e">
        <v>#N/A</v>
      </c>
      <c r="AN31" s="66" t="e">
        <v>#N/A</v>
      </c>
      <c r="AO31" s="66" t="e">
        <v>#N/A</v>
      </c>
      <c r="AP31" s="66" t="e">
        <v>#N/A</v>
      </c>
      <c r="AQ31" s="66" t="e">
        <v>#N/A</v>
      </c>
      <c r="AR31" s="66" t="e">
        <v>#N/A</v>
      </c>
      <c r="AS31" s="66" t="e">
        <v>#N/A</v>
      </c>
      <c r="AU31" s="188">
        <v>19383</v>
      </c>
      <c r="AW31" s="66" t="b">
        <f t="shared" si="0"/>
        <v>0</v>
      </c>
    </row>
    <row r="32" spans="2:49" x14ac:dyDescent="0.15">
      <c r="B32" s="75">
        <v>5</v>
      </c>
      <c r="C32" s="188" t="s">
        <v>49</v>
      </c>
      <c r="D32" s="192" t="s">
        <v>34</v>
      </c>
      <c r="E32" s="60">
        <v>26005260</v>
      </c>
      <c r="F32" s="190" t="s">
        <v>56</v>
      </c>
      <c r="G32" s="51" t="s">
        <v>57</v>
      </c>
      <c r="H32" s="209">
        <v>18946</v>
      </c>
      <c r="I32" s="191" t="s">
        <v>212</v>
      </c>
      <c r="J32" s="51" t="s">
        <v>431</v>
      </c>
      <c r="K32" s="48">
        <v>500000000</v>
      </c>
      <c r="AK32" s="66" t="e">
        <v>#N/A</v>
      </c>
      <c r="AL32" s="66" t="e">
        <v>#N/A</v>
      </c>
      <c r="AM32" s="66" t="e">
        <v>#N/A</v>
      </c>
      <c r="AN32" s="66" t="e">
        <v>#N/A</v>
      </c>
      <c r="AO32" s="66" t="e">
        <v>#N/A</v>
      </c>
      <c r="AP32" s="66" t="e">
        <v>#N/A</v>
      </c>
      <c r="AQ32" s="66" t="e">
        <v>#N/A</v>
      </c>
      <c r="AR32" s="66" t="e">
        <v>#N/A</v>
      </c>
      <c r="AS32" s="66" t="e">
        <v>#N/A</v>
      </c>
      <c r="AU32" s="188">
        <v>19384</v>
      </c>
      <c r="AW32" s="66" t="b">
        <f t="shared" si="0"/>
        <v>0</v>
      </c>
    </row>
    <row r="33" spans="2:49" x14ac:dyDescent="0.15">
      <c r="B33" s="75">
        <v>6</v>
      </c>
      <c r="C33" s="188" t="s">
        <v>49</v>
      </c>
      <c r="D33" s="192" t="s">
        <v>34</v>
      </c>
      <c r="E33" s="60">
        <v>26005260</v>
      </c>
      <c r="F33" s="190" t="s">
        <v>897</v>
      </c>
      <c r="G33" s="210" t="s">
        <v>52</v>
      </c>
      <c r="H33" s="188">
        <v>18928</v>
      </c>
      <c r="I33" s="191" t="s">
        <v>898</v>
      </c>
      <c r="J33" s="51" t="s">
        <v>896</v>
      </c>
      <c r="K33" s="48">
        <v>6720000000</v>
      </c>
      <c r="AK33" s="66" t="e">
        <v>#N/A</v>
      </c>
      <c r="AL33" s="66" t="e">
        <v>#N/A</v>
      </c>
      <c r="AM33" s="66" t="e">
        <v>#N/A</v>
      </c>
      <c r="AN33" s="66" t="e">
        <v>#N/A</v>
      </c>
      <c r="AO33" s="66" t="e">
        <v>#N/A</v>
      </c>
      <c r="AP33" s="66" t="e">
        <v>#N/A</v>
      </c>
      <c r="AQ33" s="66" t="e">
        <v>#N/A</v>
      </c>
      <c r="AR33" s="66" t="e">
        <v>#N/A</v>
      </c>
      <c r="AS33" s="66" t="e">
        <v>#N/A</v>
      </c>
      <c r="AU33" s="188">
        <v>19030</v>
      </c>
      <c r="AW33" s="66" t="b">
        <f t="shared" si="0"/>
        <v>0</v>
      </c>
    </row>
    <row r="34" spans="2:49" x14ac:dyDescent="0.15">
      <c r="B34" s="75">
        <v>7</v>
      </c>
      <c r="C34" s="188" t="s">
        <v>49</v>
      </c>
      <c r="D34" s="192" t="s">
        <v>34</v>
      </c>
      <c r="E34" s="60">
        <v>26005260</v>
      </c>
      <c r="F34" s="190" t="s">
        <v>899</v>
      </c>
      <c r="G34" s="211" t="s">
        <v>52</v>
      </c>
      <c r="H34" s="188">
        <v>18930</v>
      </c>
      <c r="I34" s="191" t="s">
        <v>900</v>
      </c>
      <c r="J34" s="51" t="s">
        <v>896</v>
      </c>
      <c r="K34" s="48">
        <v>2897500000</v>
      </c>
      <c r="AK34" s="66" t="e">
        <v>#N/A</v>
      </c>
      <c r="AL34" s="66" t="e">
        <v>#N/A</v>
      </c>
      <c r="AM34" s="66" t="e">
        <v>#N/A</v>
      </c>
      <c r="AN34" s="66" t="e">
        <v>#N/A</v>
      </c>
      <c r="AO34" s="66" t="e">
        <v>#N/A</v>
      </c>
      <c r="AP34" s="66" t="e">
        <v>#N/A</v>
      </c>
      <c r="AQ34" s="66" t="e">
        <v>#N/A</v>
      </c>
      <c r="AR34" s="66" t="e">
        <v>#N/A</v>
      </c>
      <c r="AS34" s="66" t="e">
        <v>#N/A</v>
      </c>
      <c r="AU34" s="188">
        <v>19032</v>
      </c>
      <c r="AW34" s="66" t="b">
        <f t="shared" si="0"/>
        <v>0</v>
      </c>
    </row>
    <row r="35" spans="2:49" x14ac:dyDescent="0.15">
      <c r="B35" s="75">
        <v>8</v>
      </c>
      <c r="C35" s="188" t="s">
        <v>49</v>
      </c>
      <c r="D35" s="192" t="s">
        <v>34</v>
      </c>
      <c r="E35" s="60">
        <v>26005260</v>
      </c>
      <c r="F35" s="190" t="s">
        <v>59</v>
      </c>
      <c r="G35" s="51" t="s">
        <v>60</v>
      </c>
      <c r="H35" s="213">
        <v>18933</v>
      </c>
      <c r="I35" s="191" t="s">
        <v>219</v>
      </c>
      <c r="J35" s="51" t="s">
        <v>431</v>
      </c>
      <c r="K35" s="48">
        <v>260000000</v>
      </c>
      <c r="AK35" s="66" t="e">
        <v>#N/A</v>
      </c>
      <c r="AL35" s="66" t="e">
        <v>#N/A</v>
      </c>
      <c r="AM35" s="66" t="e">
        <v>#N/A</v>
      </c>
      <c r="AN35" s="66" t="e">
        <v>#N/A</v>
      </c>
      <c r="AO35" s="66" t="e">
        <v>#N/A</v>
      </c>
      <c r="AP35" s="66" t="e">
        <v>#N/A</v>
      </c>
      <c r="AQ35" s="66" t="e">
        <v>#N/A</v>
      </c>
      <c r="AR35" s="66" t="e">
        <v>#N/A</v>
      </c>
      <c r="AS35" s="66" t="e">
        <v>#N/A</v>
      </c>
      <c r="AU35" s="188" t="s">
        <v>75</v>
      </c>
      <c r="AW35" s="66" t="b">
        <f t="shared" si="0"/>
        <v>0</v>
      </c>
    </row>
    <row r="36" spans="2:49" x14ac:dyDescent="0.15">
      <c r="B36" s="75">
        <v>9</v>
      </c>
      <c r="C36" s="188" t="s">
        <v>49</v>
      </c>
      <c r="D36" s="192" t="s">
        <v>34</v>
      </c>
      <c r="E36" s="60">
        <v>26005395</v>
      </c>
      <c r="F36" s="190" t="s">
        <v>901</v>
      </c>
      <c r="G36" s="210" t="s">
        <v>902</v>
      </c>
      <c r="H36" s="188">
        <v>18926</v>
      </c>
      <c r="I36" s="191" t="s">
        <v>903</v>
      </c>
      <c r="J36" s="51" t="s">
        <v>896</v>
      </c>
      <c r="K36" s="48">
        <v>3277125000</v>
      </c>
      <c r="AK36" s="66" t="e">
        <v>#N/A</v>
      </c>
      <c r="AL36" s="66" t="e">
        <v>#N/A</v>
      </c>
      <c r="AM36" s="66" t="e">
        <v>#N/A</v>
      </c>
      <c r="AN36" s="66" t="e">
        <v>#N/A</v>
      </c>
      <c r="AO36" s="66" t="e">
        <v>#N/A</v>
      </c>
      <c r="AP36" s="66" t="e">
        <v>#N/A</v>
      </c>
      <c r="AQ36" s="66" t="e">
        <v>#N/A</v>
      </c>
      <c r="AR36" s="66" t="e">
        <v>#N/A</v>
      </c>
      <c r="AS36" s="66" t="e">
        <v>#N/A</v>
      </c>
    </row>
    <row r="37" spans="2:49" x14ac:dyDescent="0.15">
      <c r="B37" s="75">
        <v>10</v>
      </c>
      <c r="C37" s="188" t="s">
        <v>49</v>
      </c>
      <c r="D37" s="192" t="s">
        <v>904</v>
      </c>
      <c r="E37" s="58">
        <v>26005255</v>
      </c>
      <c r="F37" s="190" t="s">
        <v>905</v>
      </c>
      <c r="G37" s="210" t="s">
        <v>52</v>
      </c>
      <c r="H37" s="188">
        <v>19009</v>
      </c>
      <c r="I37" s="191" t="s">
        <v>895</v>
      </c>
      <c r="J37" s="51" t="s">
        <v>896</v>
      </c>
      <c r="K37" s="48">
        <v>641642500</v>
      </c>
      <c r="AK37" s="66" t="e">
        <v>#N/A</v>
      </c>
      <c r="AL37" s="66" t="e">
        <v>#N/A</v>
      </c>
      <c r="AM37" s="66" t="e">
        <v>#N/A</v>
      </c>
      <c r="AN37" s="66" t="e">
        <v>#N/A</v>
      </c>
      <c r="AO37" s="66" t="e">
        <v>#N/A</v>
      </c>
      <c r="AP37" s="66" t="e">
        <v>#N/A</v>
      </c>
      <c r="AQ37" s="66" t="e">
        <v>#N/A</v>
      </c>
      <c r="AR37" s="66" t="e">
        <v>#N/A</v>
      </c>
      <c r="AS37" s="66" t="e">
        <v>#N/A</v>
      </c>
    </row>
    <row r="38" spans="2:49" x14ac:dyDescent="0.15">
      <c r="B38" s="75">
        <v>11</v>
      </c>
      <c r="C38" s="188" t="s">
        <v>62</v>
      </c>
      <c r="D38" s="192" t="s">
        <v>34</v>
      </c>
      <c r="E38" s="59">
        <v>26005399</v>
      </c>
      <c r="F38" s="190" t="s">
        <v>64</v>
      </c>
      <c r="G38" s="51" t="s">
        <v>45</v>
      </c>
      <c r="H38" s="213">
        <v>18996</v>
      </c>
      <c r="I38" s="191" t="s">
        <v>252</v>
      </c>
      <c r="J38" s="51" t="s">
        <v>482</v>
      </c>
      <c r="K38" s="48">
        <v>5045473784</v>
      </c>
    </row>
    <row r="39" spans="2:49" x14ac:dyDescent="0.15">
      <c r="B39" s="75">
        <v>12</v>
      </c>
      <c r="C39" s="188" t="s">
        <v>62</v>
      </c>
      <c r="D39" s="192" t="s">
        <v>34</v>
      </c>
      <c r="E39" s="60">
        <v>26005399</v>
      </c>
      <c r="F39" s="190" t="s">
        <v>66</v>
      </c>
      <c r="G39" s="51" t="s">
        <v>47</v>
      </c>
      <c r="H39" s="213">
        <v>18998</v>
      </c>
      <c r="I39" s="191" t="s">
        <v>246</v>
      </c>
      <c r="J39" s="51" t="s">
        <v>428</v>
      </c>
      <c r="K39" s="48">
        <v>403637903</v>
      </c>
    </row>
    <row r="40" spans="2:49" x14ac:dyDescent="0.15">
      <c r="B40" s="75">
        <v>13</v>
      </c>
      <c r="C40" s="188" t="s">
        <v>62</v>
      </c>
      <c r="D40" s="192" t="s">
        <v>34</v>
      </c>
      <c r="E40" s="60">
        <v>26005399</v>
      </c>
      <c r="F40" s="190" t="s">
        <v>67</v>
      </c>
      <c r="G40" s="51" t="s">
        <v>45</v>
      </c>
      <c r="H40" s="213">
        <v>19000</v>
      </c>
      <c r="I40" s="191" t="s">
        <v>238</v>
      </c>
      <c r="J40" s="51" t="s">
        <v>426</v>
      </c>
      <c r="K40" s="48">
        <v>11621192881</v>
      </c>
    </row>
    <row r="41" spans="2:49" x14ac:dyDescent="0.15">
      <c r="B41" s="75">
        <v>14</v>
      </c>
      <c r="C41" s="188" t="s">
        <v>68</v>
      </c>
      <c r="D41" s="192" t="s">
        <v>34</v>
      </c>
      <c r="E41" s="193">
        <v>26004701</v>
      </c>
      <c r="F41" s="190" t="s">
        <v>70</v>
      </c>
      <c r="G41" s="51" t="s">
        <v>45</v>
      </c>
      <c r="H41" s="213">
        <v>18910</v>
      </c>
      <c r="I41" s="191" t="s">
        <v>262</v>
      </c>
      <c r="J41" s="51" t="s">
        <v>427</v>
      </c>
      <c r="K41" s="48">
        <v>9500000000</v>
      </c>
    </row>
    <row r="42" spans="2:49" x14ac:dyDescent="0.15">
      <c r="B42" s="75">
        <v>15</v>
      </c>
      <c r="C42" s="188" t="s">
        <v>68</v>
      </c>
      <c r="D42" s="192" t="s">
        <v>34</v>
      </c>
      <c r="E42" s="58">
        <v>26005788</v>
      </c>
      <c r="F42" s="190" t="s">
        <v>73</v>
      </c>
      <c r="G42" s="51" t="s">
        <v>74</v>
      </c>
      <c r="H42" s="188" t="s">
        <v>75</v>
      </c>
      <c r="I42" s="191" t="s">
        <v>74</v>
      </c>
      <c r="J42" s="51" t="s">
        <v>896</v>
      </c>
      <c r="K42" s="48">
        <v>5000000000</v>
      </c>
    </row>
    <row r="43" spans="2:49" x14ac:dyDescent="0.15">
      <c r="B43" s="75">
        <v>16</v>
      </c>
      <c r="C43" s="188" t="s">
        <v>76</v>
      </c>
      <c r="D43" s="192" t="s">
        <v>34</v>
      </c>
      <c r="E43" s="59">
        <v>26005375</v>
      </c>
      <c r="F43" s="190" t="s">
        <v>78</v>
      </c>
      <c r="G43" s="51" t="s">
        <v>45</v>
      </c>
      <c r="H43" s="213">
        <v>18978</v>
      </c>
      <c r="I43" s="215" t="s">
        <v>312</v>
      </c>
      <c r="J43" s="51" t="s">
        <v>428</v>
      </c>
      <c r="K43" s="48">
        <v>32675081455</v>
      </c>
    </row>
    <row r="44" spans="2:49" x14ac:dyDescent="0.15">
      <c r="B44" s="75">
        <v>17</v>
      </c>
      <c r="C44" s="188" t="s">
        <v>76</v>
      </c>
      <c r="D44" s="192" t="s">
        <v>34</v>
      </c>
      <c r="E44" s="60">
        <v>26005375</v>
      </c>
      <c r="F44" s="190" t="s">
        <v>80</v>
      </c>
      <c r="G44" s="51" t="s">
        <v>47</v>
      </c>
      <c r="H44" s="213">
        <v>18984</v>
      </c>
      <c r="I44" s="191" t="s">
        <v>304</v>
      </c>
      <c r="J44" s="51" t="s">
        <v>482</v>
      </c>
      <c r="K44" s="48">
        <v>3300000000</v>
      </c>
    </row>
    <row r="45" spans="2:49" x14ac:dyDescent="0.15">
      <c r="B45" s="75">
        <v>18</v>
      </c>
      <c r="C45" s="188" t="s">
        <v>76</v>
      </c>
      <c r="D45" s="192" t="s">
        <v>34</v>
      </c>
      <c r="E45" s="60">
        <v>26005375</v>
      </c>
      <c r="F45" s="190" t="s">
        <v>82</v>
      </c>
      <c r="G45" s="51" t="s">
        <v>45</v>
      </c>
      <c r="H45" s="213">
        <v>18472</v>
      </c>
      <c r="I45" s="191" t="s">
        <v>318</v>
      </c>
      <c r="J45" s="51" t="s">
        <v>428</v>
      </c>
      <c r="K45" s="48">
        <v>3308621583</v>
      </c>
    </row>
    <row r="46" spans="2:49" x14ac:dyDescent="0.15">
      <c r="B46" s="75">
        <v>19</v>
      </c>
      <c r="C46" s="188" t="s">
        <v>76</v>
      </c>
      <c r="D46" s="192" t="s">
        <v>34</v>
      </c>
      <c r="E46" s="60">
        <v>26005375</v>
      </c>
      <c r="F46" s="190" t="s">
        <v>83</v>
      </c>
      <c r="G46" s="210" t="s">
        <v>84</v>
      </c>
      <c r="H46" s="188">
        <v>18978</v>
      </c>
      <c r="I46" s="191" t="s">
        <v>312</v>
      </c>
      <c r="J46" s="51" t="s">
        <v>428</v>
      </c>
      <c r="K46" s="48">
        <v>552530162</v>
      </c>
    </row>
    <row r="47" spans="2:49" x14ac:dyDescent="0.15">
      <c r="B47" s="75">
        <v>20</v>
      </c>
      <c r="C47" s="188" t="s">
        <v>76</v>
      </c>
      <c r="D47" s="192" t="s">
        <v>34</v>
      </c>
      <c r="E47" s="60">
        <v>26005375</v>
      </c>
      <c r="F47" s="190" t="s">
        <v>85</v>
      </c>
      <c r="G47" s="51" t="s">
        <v>84</v>
      </c>
      <c r="H47" s="213">
        <v>19194</v>
      </c>
      <c r="I47" s="191" t="s">
        <v>284</v>
      </c>
      <c r="J47" s="51" t="s">
        <v>482</v>
      </c>
      <c r="K47" s="48">
        <v>810601805</v>
      </c>
    </row>
    <row r="48" spans="2:49" x14ac:dyDescent="0.15">
      <c r="B48" s="75">
        <v>21</v>
      </c>
      <c r="C48" s="188" t="s">
        <v>76</v>
      </c>
      <c r="D48" s="192" t="s">
        <v>34</v>
      </c>
      <c r="E48" s="60">
        <v>26005375</v>
      </c>
      <c r="F48" s="190" t="s">
        <v>86</v>
      </c>
      <c r="G48" s="51" t="s">
        <v>87</v>
      </c>
      <c r="H48" s="213">
        <v>19143</v>
      </c>
      <c r="I48" s="215" t="s">
        <v>295</v>
      </c>
      <c r="J48" s="51" t="s">
        <v>431</v>
      </c>
      <c r="K48" s="48">
        <v>72635632300</v>
      </c>
    </row>
    <row r="49" spans="2:11" x14ac:dyDescent="0.15">
      <c r="B49" s="75">
        <v>22</v>
      </c>
      <c r="C49" s="188" t="s">
        <v>76</v>
      </c>
      <c r="D49" s="192" t="s">
        <v>34</v>
      </c>
      <c r="E49" s="60">
        <v>26005375</v>
      </c>
      <c r="F49" s="190" t="s">
        <v>88</v>
      </c>
      <c r="G49" s="210" t="s">
        <v>87</v>
      </c>
      <c r="H49" s="188">
        <v>19143</v>
      </c>
      <c r="I49" s="191" t="s">
        <v>295</v>
      </c>
      <c r="J49" s="51" t="s">
        <v>431</v>
      </c>
      <c r="K49" s="48">
        <v>3336717456</v>
      </c>
    </row>
    <row r="50" spans="2:11" x14ac:dyDescent="0.15">
      <c r="B50" s="75">
        <v>23</v>
      </c>
      <c r="C50" s="188" t="s">
        <v>79</v>
      </c>
      <c r="D50" s="192" t="s">
        <v>34</v>
      </c>
      <c r="E50" s="59">
        <v>26005393</v>
      </c>
      <c r="F50" s="190" t="s">
        <v>906</v>
      </c>
      <c r="G50" s="51" t="s">
        <v>60</v>
      </c>
      <c r="H50" s="213">
        <v>18986</v>
      </c>
      <c r="I50" s="191" t="s">
        <v>332</v>
      </c>
      <c r="J50" s="51" t="s">
        <v>428</v>
      </c>
      <c r="K50" s="48">
        <v>1176046140</v>
      </c>
    </row>
    <row r="51" spans="2:11" x14ac:dyDescent="0.15">
      <c r="B51" s="75">
        <v>24</v>
      </c>
      <c r="C51" s="188" t="s">
        <v>79</v>
      </c>
      <c r="D51" s="192" t="s">
        <v>34</v>
      </c>
      <c r="E51" s="60">
        <v>26005393</v>
      </c>
      <c r="F51" s="190" t="s">
        <v>907</v>
      </c>
      <c r="G51" s="51" t="s">
        <v>45</v>
      </c>
      <c r="H51" s="213">
        <v>18970</v>
      </c>
      <c r="I51" s="191" t="s">
        <v>336</v>
      </c>
      <c r="J51" s="51" t="s">
        <v>482</v>
      </c>
      <c r="K51" s="48">
        <v>2753325060</v>
      </c>
    </row>
    <row r="52" spans="2:11" x14ac:dyDescent="0.15">
      <c r="B52" s="75">
        <v>25</v>
      </c>
      <c r="C52" s="188" t="s">
        <v>79</v>
      </c>
      <c r="D52" s="192" t="s">
        <v>34</v>
      </c>
      <c r="E52" s="60">
        <v>26005393</v>
      </c>
      <c r="F52" s="190" t="s">
        <v>908</v>
      </c>
      <c r="G52" s="51" t="s">
        <v>47</v>
      </c>
      <c r="H52" s="216">
        <v>18989</v>
      </c>
      <c r="I52" s="191" t="s">
        <v>909</v>
      </c>
      <c r="J52" s="51" t="s">
        <v>896</v>
      </c>
      <c r="K52" s="48">
        <v>570628800</v>
      </c>
    </row>
    <row r="53" spans="2:11" x14ac:dyDescent="0.15">
      <c r="B53" s="75">
        <v>26</v>
      </c>
      <c r="C53" s="188" t="s">
        <v>79</v>
      </c>
      <c r="D53" s="189" t="s">
        <v>904</v>
      </c>
      <c r="E53" s="60">
        <v>26005393</v>
      </c>
      <c r="F53" s="190" t="s">
        <v>910</v>
      </c>
      <c r="G53" s="51" t="s">
        <v>911</v>
      </c>
      <c r="H53" s="213">
        <v>19383</v>
      </c>
      <c r="I53" s="191" t="s">
        <v>327</v>
      </c>
      <c r="J53" s="51" t="s">
        <v>896</v>
      </c>
      <c r="K53" s="48">
        <v>2400326473</v>
      </c>
    </row>
    <row r="54" spans="2:11" x14ac:dyDescent="0.15">
      <c r="B54" s="75">
        <v>27</v>
      </c>
      <c r="C54" s="188" t="s">
        <v>79</v>
      </c>
      <c r="D54" s="192" t="s">
        <v>904</v>
      </c>
      <c r="E54" s="60">
        <v>26005393</v>
      </c>
      <c r="F54" s="190" t="s">
        <v>912</v>
      </c>
      <c r="G54" s="210" t="s">
        <v>913</v>
      </c>
      <c r="H54" s="188">
        <v>19384</v>
      </c>
      <c r="I54" s="191" t="s">
        <v>914</v>
      </c>
      <c r="J54" s="51" t="s">
        <v>896</v>
      </c>
      <c r="K54" s="48">
        <v>593000800</v>
      </c>
    </row>
    <row r="55" spans="2:11" x14ac:dyDescent="0.15">
      <c r="B55" s="75">
        <v>28</v>
      </c>
      <c r="C55" s="188" t="s">
        <v>81</v>
      </c>
      <c r="D55" s="189" t="s">
        <v>34</v>
      </c>
      <c r="E55" s="59">
        <v>26005429</v>
      </c>
      <c r="F55" s="190" t="s">
        <v>90</v>
      </c>
      <c r="G55" s="210" t="s">
        <v>91</v>
      </c>
      <c r="H55" s="188">
        <v>19030</v>
      </c>
      <c r="I55" s="191" t="s">
        <v>915</v>
      </c>
      <c r="J55" s="51" t="s">
        <v>896</v>
      </c>
      <c r="K55" s="194">
        <v>17537522000</v>
      </c>
    </row>
    <row r="56" spans="2:11" x14ac:dyDescent="0.15">
      <c r="B56" s="75">
        <v>29</v>
      </c>
      <c r="C56" s="188" t="s">
        <v>81</v>
      </c>
      <c r="D56" s="192" t="s">
        <v>34</v>
      </c>
      <c r="E56" s="60">
        <v>26005429</v>
      </c>
      <c r="F56" s="190" t="s">
        <v>92</v>
      </c>
      <c r="G56" s="210" t="s">
        <v>91</v>
      </c>
      <c r="H56" s="188">
        <v>19032</v>
      </c>
      <c r="I56" s="191" t="s">
        <v>915</v>
      </c>
      <c r="J56" s="51" t="s">
        <v>896</v>
      </c>
      <c r="K56" s="194">
        <v>650000000</v>
      </c>
    </row>
    <row r="57" spans="2:11" x14ac:dyDescent="0.15">
      <c r="B57" s="75">
        <v>30</v>
      </c>
      <c r="C57" s="188" t="s">
        <v>81</v>
      </c>
      <c r="D57" s="192" t="s">
        <v>904</v>
      </c>
      <c r="E57" s="58">
        <v>26005416</v>
      </c>
      <c r="F57" s="195" t="s">
        <v>916</v>
      </c>
      <c r="G57" s="51" t="s">
        <v>91</v>
      </c>
      <c r="H57" s="188" t="s">
        <v>75</v>
      </c>
      <c r="I57" s="191" t="s">
        <v>915</v>
      </c>
      <c r="J57" s="51" t="s">
        <v>896</v>
      </c>
      <c r="K57" s="194">
        <v>4932427500</v>
      </c>
    </row>
    <row r="58" spans="2:11" x14ac:dyDescent="0.2">
      <c r="B58" s="75">
        <v>31</v>
      </c>
      <c r="C58" s="196" t="s">
        <v>61</v>
      </c>
      <c r="D58" s="196"/>
      <c r="E58" s="197"/>
      <c r="F58" s="197"/>
      <c r="G58" s="197"/>
      <c r="H58" s="197"/>
      <c r="I58" s="197"/>
      <c r="J58" s="198"/>
      <c r="K58" s="199">
        <v>215942130056</v>
      </c>
    </row>
  </sheetData>
  <autoFilter ref="B5:AF5" xr:uid="{6D6186E7-290E-EE42-B3D2-A0D2656755B9}"/>
  <conditionalFormatting sqref="AE6:AE22">
    <cfRule type="containsText" dxfId="7" priority="3" operator="containsText" text="Contrato Firmado">
      <formula>NOT(ISERROR(SEARCH("Contrato Firmado",AE6)))</formula>
    </cfRule>
    <cfRule type="containsText" dxfId="6" priority="4" operator="containsText" text="Adjudicado">
      <formula>NOT(ISERROR(SEARCH("Adjudicado",AE6)))</formula>
    </cfRule>
    <cfRule type="containsText" dxfId="5" priority="6" operator="containsText" text="Proyecto de pliegos">
      <formula>NOT(ISERROR(SEARCH("Proyecto de pliegos",AE6)))</formula>
    </cfRule>
    <cfRule type="containsText" dxfId="4" priority="7" operator="containsText" text="Pliegos definitivos">
      <formula>NOT(ISERROR(SEARCH("Pliegos definitivos",AE6)))</formula>
    </cfRule>
    <cfRule type="containsText" dxfId="3" priority="8" operator="containsText" text="En evaluacion">
      <formula>NOT(ISERROR(SEARCH("En evaluacion",AE6)))</formula>
    </cfRule>
  </conditionalFormatting>
  <conditionalFormatting sqref="H27:H56 H58">
    <cfRule type="duplicateValues" dxfId="2" priority="2"/>
  </conditionalFormatting>
  <conditionalFormatting sqref="AU6:AU34">
    <cfRule type="duplicateValues" dxfId="1" priority="1"/>
  </conditionalFormatting>
  <hyperlinks>
    <hyperlink ref="F12" r:id="rId1" xr:uid="{4E252C33-BC9F-C342-9138-2AA9DE4849B0}"/>
    <hyperlink ref="F10" r:id="rId2" xr:uid="{9484DE2D-7A26-0540-9C2A-A2FE8ACB869F}"/>
    <hyperlink ref="AI6" r:id="rId3" xr:uid="{0EB0F93D-821A-FE43-8828-A7F4A8169B38}"/>
    <hyperlink ref="AI7" r:id="rId4" xr:uid="{493CB7BE-3005-8742-9C78-F283D839E755}"/>
    <hyperlink ref="AI8" r:id="rId5" xr:uid="{354BE2A0-295B-DF48-9989-892606445783}"/>
    <hyperlink ref="AI9" r:id="rId6" xr:uid="{09894033-D910-984A-BF72-50509B505DD6}"/>
    <hyperlink ref="AI10" r:id="rId7" xr:uid="{231AB589-6A73-A84D-8C45-8388F8BC5C94}"/>
    <hyperlink ref="F11" r:id="rId8" xr:uid="{3EB19E8A-13EC-9D40-9B13-E398C863B6F0}"/>
    <hyperlink ref="AI11" r:id="rId9" xr:uid="{68AF8176-7FC5-8B48-A7AE-C498F17683A2}"/>
    <hyperlink ref="AI13" r:id="rId10" xr:uid="{78516605-2AE1-164B-9242-6EB1DEB724B7}"/>
    <hyperlink ref="AI12" r:id="rId11" xr:uid="{20B1C99B-FB00-DE4E-A8FF-C569A214B513}"/>
    <hyperlink ref="AI14" r:id="rId12" xr:uid="{51F0F80F-D404-3049-BB93-E8860972E11D}"/>
    <hyperlink ref="AI15" r:id="rId13" xr:uid="{CDBE5408-87C8-AA42-A15B-C3CAC20503B1}"/>
    <hyperlink ref="AI17" r:id="rId14" xr:uid="{F97C3061-0E36-994F-A89E-A1164FD5D8D3}"/>
    <hyperlink ref="AI18" r:id="rId15" xr:uid="{512145B0-B567-E545-BB80-52597FDE014D}"/>
    <hyperlink ref="AI19" r:id="rId16" xr:uid="{E698DA2E-B485-9648-B9DA-C05106F4D18A}"/>
    <hyperlink ref="AI20" r:id="rId17" xr:uid="{CB1E52C1-5137-514F-AF2B-D5220E14FB21}"/>
    <hyperlink ref="AI21" r:id="rId18" xr:uid="{69C32A86-BD9D-6B44-B69A-9274575D610F}"/>
    <hyperlink ref="AI22" r:id="rId19" xr:uid="{3E7DDB8B-4F55-8E4B-914F-0A4FC951F069}"/>
  </hyperlinks>
  <pageMargins left="0.7" right="0.7" top="0.75" bottom="0.75" header="0.3" footer="0.3"/>
  <legacyDrawing r:id="rId20"/>
  <extLst>
    <ext xmlns:x14="http://schemas.microsoft.com/office/spreadsheetml/2009/9/main" uri="{CCE6A557-97BC-4b89-ADB6-D9C93CAAB3DF}">
      <x14:dataValidations xmlns:xm="http://schemas.microsoft.com/office/excel/2006/main" count="7">
        <x14:dataValidation type="list" allowBlank="1" showInputMessage="1" showErrorMessage="1" xr:uid="{61E591FE-1AF7-7442-8517-2CD17A976A6F}">
          <x14:formula1>
            <xm:f>Hoja1!$B$22:$B$27</xm:f>
          </x14:formula1>
          <xm:sqref>L17 L19</xm:sqref>
        </x14:dataValidation>
        <x14:dataValidation type="list" allowBlank="1" showInputMessage="1" showErrorMessage="1" xr:uid="{2B5BDB8A-B72B-0A4D-A2C0-ADEB7D74BE85}">
          <x14:formula1>
            <xm:f>Hoja1!$B$22:$B$26</xm:f>
          </x14:formula1>
          <xm:sqref>L14</xm:sqref>
        </x14:dataValidation>
        <x14:dataValidation type="list" allowBlank="1" showInputMessage="1" showErrorMessage="1" xr:uid="{9EDC4BCC-8E70-8243-8980-56850AC7D93B}">
          <x14:formula1>
            <xm:f>Hoja1!$B$32:$B$33</xm:f>
          </x14:formula1>
          <xm:sqref>I6:I22</xm:sqref>
        </x14:dataValidation>
        <x14:dataValidation type="list" allowBlank="1" showInputMessage="1" showErrorMessage="1" xr:uid="{90517AB2-6531-F045-AA9E-182F5DE247E5}">
          <x14:formula1>
            <xm:f>Hoja1!$C$29:$C$33</xm:f>
          </x14:formula1>
          <xm:sqref>AE6:AE22</xm:sqref>
        </x14:dataValidation>
        <x14:dataValidation type="list" allowBlank="1" showInputMessage="1" showErrorMessage="1" xr:uid="{C30B30C5-1232-BD40-966C-C57932B6F5D0}">
          <x14:formula1>
            <xm:f>Hoja1!$C$22:$C$24</xm:f>
          </x14:formula1>
          <xm:sqref>H6:H22</xm:sqref>
        </x14:dataValidation>
        <x14:dataValidation type="list" allowBlank="1" showInputMessage="1" showErrorMessage="1" xr:uid="{FB85447B-DF4F-4842-A53F-70B899412514}">
          <x14:formula1>
            <xm:f>Hoja1!$B$22:$B$25</xm:f>
          </x14:formula1>
          <xm:sqref>L9:L13 L15:L16 L18 L20:L22</xm:sqref>
        </x14:dataValidation>
        <x14:dataValidation type="list" allowBlank="1" showInputMessage="1" showErrorMessage="1" xr:uid="{A5AFF5DC-87FC-A64D-9B7F-0FA291DE960C}">
          <x14:formula1>
            <xm:f>Hoja1!$B$22:$B$24</xm:f>
          </x14:formula1>
          <xm:sqref>L6:L8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5391-2517-7846-85C0-7F40E0F4D129}">
  <sheetPr codeName="Hoja5">
    <tabColor theme="5"/>
  </sheetPr>
  <dimension ref="B3:G92"/>
  <sheetViews>
    <sheetView topLeftCell="A71" zoomScale="101" workbookViewId="0">
      <selection activeCell="B79" sqref="B79:C92"/>
    </sheetView>
  </sheetViews>
  <sheetFormatPr baseColWidth="10" defaultRowHeight="16" x14ac:dyDescent="0.2"/>
  <cols>
    <col min="2" max="2" width="75.33203125" bestFit="1" customWidth="1"/>
    <col min="3" max="3" width="77.6640625" bestFit="1" customWidth="1"/>
    <col min="6" max="6" width="27.83203125" customWidth="1"/>
    <col min="7" max="7" width="30.1640625" bestFit="1" customWidth="1"/>
  </cols>
  <sheetData>
    <row r="3" spans="2:4" x14ac:dyDescent="0.2">
      <c r="B3" s="99" t="s">
        <v>475</v>
      </c>
      <c r="C3" s="100" t="s">
        <v>411</v>
      </c>
    </row>
    <row r="4" spans="2:4" x14ac:dyDescent="0.2">
      <c r="B4" s="99" t="s">
        <v>412</v>
      </c>
      <c r="C4" s="100" t="s">
        <v>476</v>
      </c>
      <c r="D4" s="100"/>
    </row>
    <row r="5" spans="2:4" x14ac:dyDescent="0.2">
      <c r="B5" s="99" t="s">
        <v>437</v>
      </c>
      <c r="C5" s="100" t="s">
        <v>605</v>
      </c>
      <c r="D5" s="100"/>
    </row>
    <row r="6" spans="2:4" x14ac:dyDescent="0.2">
      <c r="B6" s="99" t="s">
        <v>438</v>
      </c>
      <c r="C6" s="100" t="s">
        <v>605</v>
      </c>
      <c r="D6" s="100"/>
    </row>
    <row r="7" spans="2:4" x14ac:dyDescent="0.2">
      <c r="B7" s="99" t="s">
        <v>439</v>
      </c>
      <c r="C7" s="100" t="s">
        <v>605</v>
      </c>
      <c r="D7" s="100"/>
    </row>
    <row r="8" spans="2:4" x14ac:dyDescent="0.2">
      <c r="B8" s="99" t="s">
        <v>462</v>
      </c>
      <c r="C8" s="100" t="s">
        <v>606</v>
      </c>
      <c r="D8" s="100"/>
    </row>
    <row r="9" spans="2:4" x14ac:dyDescent="0.2">
      <c r="B9" s="99" t="s">
        <v>441</v>
      </c>
      <c r="C9" s="100" t="s">
        <v>607</v>
      </c>
      <c r="D9" s="100"/>
    </row>
    <row r="10" spans="2:4" x14ac:dyDescent="0.2">
      <c r="B10" s="99" t="s">
        <v>442</v>
      </c>
      <c r="C10" s="100" t="s">
        <v>537</v>
      </c>
      <c r="D10" s="100"/>
    </row>
    <row r="11" spans="2:4" x14ac:dyDescent="0.2">
      <c r="B11" s="99" t="s">
        <v>444</v>
      </c>
      <c r="C11" s="100" t="s">
        <v>608</v>
      </c>
      <c r="D11" s="100"/>
    </row>
    <row r="12" spans="2:4" x14ac:dyDescent="0.2">
      <c r="B12" s="99" t="s">
        <v>462</v>
      </c>
      <c r="C12" s="100" t="s">
        <v>609</v>
      </c>
      <c r="D12" s="100"/>
    </row>
    <row r="13" spans="2:4" x14ac:dyDescent="0.2">
      <c r="B13" s="99" t="s">
        <v>445</v>
      </c>
      <c r="C13" s="100" t="s">
        <v>610</v>
      </c>
      <c r="D13" s="100"/>
    </row>
    <row r="14" spans="2:4" x14ac:dyDescent="0.2">
      <c r="B14" s="99" t="s">
        <v>446</v>
      </c>
      <c r="C14" s="100" t="s">
        <v>611</v>
      </c>
      <c r="D14" s="100"/>
    </row>
    <row r="15" spans="2:4" x14ac:dyDescent="0.2">
      <c r="B15" s="99" t="s">
        <v>612</v>
      </c>
      <c r="C15" s="100" t="s">
        <v>613</v>
      </c>
      <c r="D15" s="100"/>
    </row>
    <row r="16" spans="2:4" x14ac:dyDescent="0.2">
      <c r="B16" s="99" t="s">
        <v>448</v>
      </c>
      <c r="C16" s="100" t="s">
        <v>614</v>
      </c>
      <c r="D16" s="100"/>
    </row>
    <row r="17" spans="2:7" x14ac:dyDescent="0.2">
      <c r="B17" s="99" t="s">
        <v>449</v>
      </c>
      <c r="C17" s="100" t="s">
        <v>615</v>
      </c>
      <c r="D17" s="100"/>
    </row>
    <row r="18" spans="2:7" x14ac:dyDescent="0.2">
      <c r="B18" s="99" t="s">
        <v>468</v>
      </c>
      <c r="C18" s="100" t="s">
        <v>616</v>
      </c>
      <c r="D18" s="100"/>
    </row>
    <row r="19" spans="2:7" x14ac:dyDescent="0.2">
      <c r="B19" s="99" t="s">
        <v>451</v>
      </c>
      <c r="C19" s="100" t="s">
        <v>617</v>
      </c>
      <c r="D19" s="100"/>
    </row>
    <row r="20" spans="2:7" x14ac:dyDescent="0.2">
      <c r="B20" s="104" t="s">
        <v>469</v>
      </c>
      <c r="C20" s="105" t="s">
        <v>618</v>
      </c>
      <c r="D20" s="105"/>
      <c r="E20" s="103"/>
      <c r="F20" s="103"/>
      <c r="G20" s="157" t="s">
        <v>624</v>
      </c>
    </row>
    <row r="21" spans="2:7" x14ac:dyDescent="0.2">
      <c r="B21" s="104" t="s">
        <v>453</v>
      </c>
      <c r="C21" s="105" t="s">
        <v>619</v>
      </c>
      <c r="D21" s="105"/>
      <c r="E21" s="103"/>
      <c r="F21" s="103"/>
    </row>
    <row r="22" spans="2:7" x14ac:dyDescent="0.2">
      <c r="B22" s="99" t="s">
        <v>470</v>
      </c>
      <c r="C22" s="100" t="s">
        <v>620</v>
      </c>
      <c r="D22" s="100"/>
    </row>
    <row r="23" spans="2:7" x14ac:dyDescent="0.2">
      <c r="B23" s="99" t="s">
        <v>455</v>
      </c>
      <c r="C23" s="100" t="s">
        <v>621</v>
      </c>
      <c r="D23" s="100"/>
    </row>
    <row r="24" spans="2:7" x14ac:dyDescent="0.2">
      <c r="B24" s="99" t="s">
        <v>418</v>
      </c>
      <c r="C24" s="100" t="s">
        <v>622</v>
      </c>
      <c r="D24" s="100"/>
    </row>
    <row r="25" spans="2:7" x14ac:dyDescent="0.2">
      <c r="B25" s="99" t="s">
        <v>456</v>
      </c>
      <c r="C25" s="100" t="s">
        <v>576</v>
      </c>
    </row>
    <row r="32" spans="2:7" x14ac:dyDescent="0.2">
      <c r="B32" t="s">
        <v>626</v>
      </c>
    </row>
    <row r="33" spans="2:3" x14ac:dyDescent="0.2">
      <c r="B33" t="s">
        <v>627</v>
      </c>
    </row>
    <row r="34" spans="2:3" ht="85" x14ac:dyDescent="0.2">
      <c r="B34" s="70" t="s">
        <v>628</v>
      </c>
      <c r="C34" s="201" t="s">
        <v>625</v>
      </c>
    </row>
    <row r="35" spans="2:3" ht="17" thickBot="1" x14ac:dyDescent="0.25"/>
    <row r="36" spans="2:3" ht="17" thickBot="1" x14ac:dyDescent="0.25">
      <c r="B36" s="161" t="s">
        <v>6</v>
      </c>
      <c r="C36" s="163"/>
    </row>
    <row r="37" spans="2:3" ht="17" thickBot="1" x14ac:dyDescent="0.25">
      <c r="B37" s="161" t="s">
        <v>7</v>
      </c>
      <c r="C37" s="164"/>
    </row>
    <row r="38" spans="2:3" ht="17" thickBot="1" x14ac:dyDescent="0.25">
      <c r="B38" s="161" t="s">
        <v>8</v>
      </c>
      <c r="C38" s="164"/>
    </row>
    <row r="39" spans="2:3" ht="17" thickBot="1" x14ac:dyDescent="0.25">
      <c r="B39" s="161" t="s">
        <v>10</v>
      </c>
      <c r="C39" s="164"/>
    </row>
    <row r="40" spans="2:3" ht="17" thickBot="1" x14ac:dyDescent="0.25">
      <c r="B40" s="161" t="s">
        <v>14</v>
      </c>
      <c r="C40" s="164"/>
    </row>
    <row r="41" spans="2:3" ht="17" thickBot="1" x14ac:dyDescent="0.25">
      <c r="B41" s="161" t="s">
        <v>11</v>
      </c>
      <c r="C41" s="164" t="s">
        <v>931</v>
      </c>
    </row>
    <row r="42" spans="2:3" ht="17" thickBot="1" x14ac:dyDescent="0.25">
      <c r="B42" s="161" t="s">
        <v>12</v>
      </c>
      <c r="C42" s="164"/>
    </row>
    <row r="43" spans="2:3" ht="17" thickBot="1" x14ac:dyDescent="0.25">
      <c r="B43" s="161" t="s">
        <v>13</v>
      </c>
      <c r="C43" s="164"/>
    </row>
    <row r="44" spans="2:3" ht="17" thickBot="1" x14ac:dyDescent="0.25">
      <c r="B44" s="161" t="s">
        <v>17</v>
      </c>
      <c r="C44" s="164"/>
    </row>
    <row r="45" spans="2:3" ht="17" thickBot="1" x14ac:dyDescent="0.25">
      <c r="B45" s="161" t="s">
        <v>15</v>
      </c>
      <c r="C45" s="164"/>
    </row>
    <row r="46" spans="2:3" ht="17" thickBot="1" x14ac:dyDescent="0.25">
      <c r="B46" s="161" t="s">
        <v>16</v>
      </c>
      <c r="C46" s="164"/>
    </row>
    <row r="47" spans="2:3" ht="17" thickBot="1" x14ac:dyDescent="0.25">
      <c r="B47" s="161" t="s">
        <v>18</v>
      </c>
      <c r="C47" s="164" t="s">
        <v>649</v>
      </c>
    </row>
    <row r="48" spans="2:3" x14ac:dyDescent="0.2">
      <c r="B48" s="161" t="s">
        <v>19</v>
      </c>
      <c r="C48" s="164"/>
    </row>
    <row r="49" spans="2:4" ht="17" thickBot="1" x14ac:dyDescent="0.25">
      <c r="B49" s="162" t="s">
        <v>647</v>
      </c>
      <c r="C49" s="165" t="s">
        <v>648</v>
      </c>
    </row>
    <row r="52" spans="2:4" x14ac:dyDescent="0.2">
      <c r="B52" s="200" t="s">
        <v>932</v>
      </c>
    </row>
    <row r="53" spans="2:4" x14ac:dyDescent="0.2">
      <c r="B53" s="93" t="s">
        <v>410</v>
      </c>
      <c r="C53" s="94" t="s">
        <v>411</v>
      </c>
    </row>
    <row r="54" spans="2:4" x14ac:dyDescent="0.2">
      <c r="B54" s="93" t="s">
        <v>412</v>
      </c>
      <c r="C54" s="94" t="s">
        <v>476</v>
      </c>
      <c r="D54" s="94"/>
    </row>
    <row r="55" spans="2:4" x14ac:dyDescent="0.2">
      <c r="B55" s="93" t="s">
        <v>437</v>
      </c>
      <c r="C55" s="94" t="s">
        <v>605</v>
      </c>
      <c r="D55" s="94"/>
    </row>
    <row r="56" spans="2:4" x14ac:dyDescent="0.2">
      <c r="B56" s="93" t="s">
        <v>438</v>
      </c>
      <c r="C56" s="94" t="s">
        <v>605</v>
      </c>
      <c r="D56" s="94"/>
    </row>
    <row r="57" spans="2:4" x14ac:dyDescent="0.2">
      <c r="B57" s="93" t="s">
        <v>439</v>
      </c>
      <c r="C57" s="94" t="s">
        <v>605</v>
      </c>
      <c r="D57" s="94"/>
    </row>
    <row r="58" spans="2:4" x14ac:dyDescent="0.2">
      <c r="B58" s="93" t="s">
        <v>462</v>
      </c>
      <c r="C58" s="94" t="s">
        <v>606</v>
      </c>
      <c r="D58" s="94"/>
    </row>
    <row r="59" spans="2:4" x14ac:dyDescent="0.2">
      <c r="B59" s="93" t="s">
        <v>441</v>
      </c>
      <c r="C59" s="94" t="s">
        <v>607</v>
      </c>
      <c r="D59" s="94"/>
    </row>
    <row r="60" spans="2:4" x14ac:dyDescent="0.2">
      <c r="B60" s="93" t="s">
        <v>442</v>
      </c>
      <c r="C60" s="94" t="s">
        <v>537</v>
      </c>
      <c r="D60" s="94"/>
    </row>
    <row r="61" spans="2:4" x14ac:dyDescent="0.2">
      <c r="B61" s="93" t="s">
        <v>444</v>
      </c>
      <c r="C61" s="94" t="s">
        <v>917</v>
      </c>
      <c r="D61" s="94"/>
    </row>
    <row r="62" spans="2:4" x14ac:dyDescent="0.2">
      <c r="B62" s="93" t="s">
        <v>462</v>
      </c>
      <c r="C62" s="94" t="s">
        <v>918</v>
      </c>
      <c r="D62" s="94"/>
    </row>
    <row r="63" spans="2:4" x14ac:dyDescent="0.2">
      <c r="B63" s="93" t="s">
        <v>445</v>
      </c>
      <c r="C63" s="94" t="s">
        <v>919</v>
      </c>
      <c r="D63" s="94"/>
    </row>
    <row r="64" spans="2:4" x14ac:dyDescent="0.2">
      <c r="B64" s="93" t="s">
        <v>446</v>
      </c>
      <c r="C64" s="94" t="s">
        <v>920</v>
      </c>
      <c r="D64" s="94"/>
    </row>
    <row r="65" spans="2:4" x14ac:dyDescent="0.2">
      <c r="B65" s="93" t="s">
        <v>612</v>
      </c>
      <c r="C65" s="94" t="s">
        <v>921</v>
      </c>
      <c r="D65" s="94"/>
    </row>
    <row r="66" spans="2:4" x14ac:dyDescent="0.2">
      <c r="B66" s="93" t="s">
        <v>448</v>
      </c>
      <c r="C66" s="94" t="s">
        <v>922</v>
      </c>
      <c r="D66" s="94"/>
    </row>
    <row r="67" spans="2:4" x14ac:dyDescent="0.2">
      <c r="B67" s="93" t="s">
        <v>449</v>
      </c>
      <c r="C67" s="94" t="s">
        <v>923</v>
      </c>
      <c r="D67" s="94"/>
    </row>
    <row r="68" spans="2:4" x14ac:dyDescent="0.2">
      <c r="B68" s="93" t="s">
        <v>468</v>
      </c>
      <c r="C68" s="94" t="s">
        <v>924</v>
      </c>
      <c r="D68" s="94"/>
    </row>
    <row r="69" spans="2:4" x14ac:dyDescent="0.2">
      <c r="B69" s="93" t="s">
        <v>451</v>
      </c>
      <c r="C69" s="94" t="s">
        <v>925</v>
      </c>
      <c r="D69" s="94"/>
    </row>
    <row r="70" spans="2:4" x14ac:dyDescent="0.2">
      <c r="B70" s="202" t="s">
        <v>469</v>
      </c>
      <c r="C70" s="203" t="s">
        <v>925</v>
      </c>
      <c r="D70" s="94"/>
    </row>
    <row r="71" spans="2:4" x14ac:dyDescent="0.2">
      <c r="B71" s="93" t="s">
        <v>453</v>
      </c>
      <c r="C71" s="94" t="s">
        <v>926</v>
      </c>
      <c r="D71" s="94"/>
    </row>
    <row r="72" spans="2:4" x14ac:dyDescent="0.2">
      <c r="B72" s="93" t="s">
        <v>470</v>
      </c>
      <c r="C72" s="94" t="s">
        <v>927</v>
      </c>
      <c r="D72" s="94"/>
    </row>
    <row r="73" spans="2:4" x14ac:dyDescent="0.2">
      <c r="B73" s="93" t="s">
        <v>455</v>
      </c>
      <c r="C73" s="94" t="s">
        <v>928</v>
      </c>
      <c r="D73" s="94"/>
    </row>
    <row r="74" spans="2:4" x14ac:dyDescent="0.2">
      <c r="B74" s="93" t="s">
        <v>418</v>
      </c>
      <c r="C74" s="94" t="s">
        <v>929</v>
      </c>
      <c r="D74" s="94"/>
    </row>
    <row r="75" spans="2:4" x14ac:dyDescent="0.2">
      <c r="B75" s="93" t="s">
        <v>456</v>
      </c>
      <c r="C75" s="94" t="s">
        <v>930</v>
      </c>
    </row>
    <row r="78" spans="2:4" ht="52" thickBot="1" x14ac:dyDescent="0.25">
      <c r="C78" s="201" t="s">
        <v>933</v>
      </c>
    </row>
    <row r="79" spans="2:4" ht="17" thickBot="1" x14ac:dyDescent="0.25">
      <c r="B79" s="161" t="s">
        <v>6</v>
      </c>
      <c r="C79" s="163"/>
    </row>
    <row r="80" spans="2:4" ht="17" thickBot="1" x14ac:dyDescent="0.25">
      <c r="B80" s="161" t="s">
        <v>7</v>
      </c>
      <c r="C80" s="164"/>
    </row>
    <row r="81" spans="2:3" ht="17" thickBot="1" x14ac:dyDescent="0.25">
      <c r="B81" s="161" t="s">
        <v>8</v>
      </c>
      <c r="C81" s="164"/>
    </row>
    <row r="82" spans="2:3" ht="17" thickBot="1" x14ac:dyDescent="0.25">
      <c r="B82" s="161" t="s">
        <v>10</v>
      </c>
      <c r="C82" s="164"/>
    </row>
    <row r="83" spans="2:3" ht="17" thickBot="1" x14ac:dyDescent="0.25">
      <c r="B83" s="161" t="s">
        <v>14</v>
      </c>
      <c r="C83" s="164"/>
    </row>
    <row r="84" spans="2:3" ht="52" thickBot="1" x14ac:dyDescent="0.25">
      <c r="B84" s="161" t="s">
        <v>11</v>
      </c>
      <c r="C84" s="204" t="s">
        <v>933</v>
      </c>
    </row>
    <row r="85" spans="2:3" ht="17" thickBot="1" x14ac:dyDescent="0.25">
      <c r="B85" s="161" t="s">
        <v>12</v>
      </c>
      <c r="C85" s="164"/>
    </row>
    <row r="86" spans="2:3" ht="17" thickBot="1" x14ac:dyDescent="0.25">
      <c r="B86" s="161" t="s">
        <v>13</v>
      </c>
      <c r="C86" s="164"/>
    </row>
    <row r="87" spans="2:3" ht="17" thickBot="1" x14ac:dyDescent="0.25">
      <c r="B87" s="161" t="s">
        <v>17</v>
      </c>
      <c r="C87" s="164"/>
    </row>
    <row r="88" spans="2:3" ht="17" thickBot="1" x14ac:dyDescent="0.25">
      <c r="B88" s="161" t="s">
        <v>15</v>
      </c>
      <c r="C88" s="164"/>
    </row>
    <row r="89" spans="2:3" ht="17" thickBot="1" x14ac:dyDescent="0.25">
      <c r="B89" s="161" t="s">
        <v>16</v>
      </c>
      <c r="C89" s="164"/>
    </row>
    <row r="90" spans="2:3" ht="17" thickBot="1" x14ac:dyDescent="0.25">
      <c r="B90" s="161" t="s">
        <v>18</v>
      </c>
      <c r="C90" s="164" t="s">
        <v>649</v>
      </c>
    </row>
    <row r="91" spans="2:3" x14ac:dyDescent="0.2">
      <c r="B91" s="161" t="s">
        <v>19</v>
      </c>
      <c r="C91" s="164"/>
    </row>
    <row r="92" spans="2:3" ht="17" thickBot="1" x14ac:dyDescent="0.25">
      <c r="B92" s="162" t="s">
        <v>647</v>
      </c>
      <c r="C92" s="165" t="s">
        <v>648</v>
      </c>
    </row>
  </sheetData>
  <phoneticPr fontId="1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02992-1810-534C-B73C-FEBCA68E318B}">
  <sheetPr>
    <tabColor theme="5"/>
  </sheetPr>
  <dimension ref="B2:D45"/>
  <sheetViews>
    <sheetView topLeftCell="A32" workbookViewId="0">
      <selection activeCell="C43" sqref="C43:C45"/>
    </sheetView>
  </sheetViews>
  <sheetFormatPr baseColWidth="10" defaultRowHeight="16" x14ac:dyDescent="0.2"/>
  <cols>
    <col min="2" max="2" width="75.33203125" bestFit="1" customWidth="1"/>
    <col min="3" max="3" width="38.6640625" customWidth="1"/>
  </cols>
  <sheetData>
    <row r="2" spans="2:4" ht="119" x14ac:dyDescent="0.2">
      <c r="B2" s="71" t="s">
        <v>343</v>
      </c>
      <c r="C2" s="70" t="s">
        <v>344</v>
      </c>
    </row>
    <row r="4" spans="2:4" x14ac:dyDescent="0.2">
      <c r="B4" s="99" t="s">
        <v>475</v>
      </c>
      <c r="C4" s="100" t="s">
        <v>411</v>
      </c>
    </row>
    <row r="5" spans="2:4" x14ac:dyDescent="0.2">
      <c r="B5" s="99" t="s">
        <v>412</v>
      </c>
      <c r="C5" s="100" t="s">
        <v>476</v>
      </c>
      <c r="D5" s="100"/>
    </row>
    <row r="6" spans="2:4" x14ac:dyDescent="0.2">
      <c r="B6" s="99" t="s">
        <v>438</v>
      </c>
      <c r="C6" s="100" t="s">
        <v>629</v>
      </c>
      <c r="D6" s="100"/>
    </row>
    <row r="7" spans="2:4" x14ac:dyDescent="0.2">
      <c r="B7" s="99" t="s">
        <v>439</v>
      </c>
      <c r="C7" s="100" t="s">
        <v>629</v>
      </c>
      <c r="D7" s="100"/>
    </row>
    <row r="8" spans="2:4" x14ac:dyDescent="0.2">
      <c r="B8" s="99" t="s">
        <v>440</v>
      </c>
      <c r="C8" s="100" t="s">
        <v>630</v>
      </c>
      <c r="D8" s="100"/>
    </row>
    <row r="9" spans="2:4" x14ac:dyDescent="0.2">
      <c r="B9" s="99" t="s">
        <v>441</v>
      </c>
      <c r="C9" s="100" t="s">
        <v>631</v>
      </c>
      <c r="D9" s="100"/>
    </row>
    <row r="10" spans="2:4" x14ac:dyDescent="0.2">
      <c r="B10" s="99" t="s">
        <v>490</v>
      </c>
      <c r="C10" s="100" t="s">
        <v>632</v>
      </c>
      <c r="D10" s="100"/>
    </row>
    <row r="11" spans="2:4" x14ac:dyDescent="0.2">
      <c r="B11" s="99" t="s">
        <v>492</v>
      </c>
      <c r="C11" s="100" t="s">
        <v>633</v>
      </c>
      <c r="D11" s="100"/>
    </row>
    <row r="12" spans="2:4" x14ac:dyDescent="0.2">
      <c r="B12" s="99" t="s">
        <v>444</v>
      </c>
      <c r="C12" s="100" t="s">
        <v>633</v>
      </c>
      <c r="D12" s="100"/>
    </row>
    <row r="13" spans="2:4" x14ac:dyDescent="0.2">
      <c r="B13" s="99" t="s">
        <v>446</v>
      </c>
      <c r="C13" s="100" t="s">
        <v>634</v>
      </c>
      <c r="D13" s="100"/>
    </row>
    <row r="14" spans="2:4" x14ac:dyDescent="0.2">
      <c r="B14" s="99" t="s">
        <v>495</v>
      </c>
      <c r="C14" s="100" t="s">
        <v>635</v>
      </c>
      <c r="D14" s="100"/>
    </row>
    <row r="15" spans="2:4" x14ac:dyDescent="0.2">
      <c r="B15" s="99" t="s">
        <v>448</v>
      </c>
      <c r="C15" s="100" t="s">
        <v>635</v>
      </c>
      <c r="D15" s="100"/>
    </row>
    <row r="16" spans="2:4" x14ac:dyDescent="0.2">
      <c r="B16" s="99" t="s">
        <v>449</v>
      </c>
      <c r="C16" s="100" t="s">
        <v>636</v>
      </c>
      <c r="D16" s="100"/>
    </row>
    <row r="17" spans="2:4" x14ac:dyDescent="0.2">
      <c r="B17" s="99" t="s">
        <v>450</v>
      </c>
      <c r="C17" s="100" t="s">
        <v>637</v>
      </c>
      <c r="D17" s="100"/>
    </row>
    <row r="18" spans="2:4" x14ac:dyDescent="0.2">
      <c r="B18" s="99" t="s">
        <v>451</v>
      </c>
      <c r="C18" s="100" t="s">
        <v>638</v>
      </c>
      <c r="D18" s="100"/>
    </row>
    <row r="19" spans="2:4" x14ac:dyDescent="0.2">
      <c r="B19" s="99" t="s">
        <v>452</v>
      </c>
      <c r="C19" s="100" t="s">
        <v>639</v>
      </c>
      <c r="D19" s="100"/>
    </row>
    <row r="20" spans="2:4" x14ac:dyDescent="0.2">
      <c r="B20" s="99" t="s">
        <v>501</v>
      </c>
      <c r="C20" s="100" t="s">
        <v>640</v>
      </c>
      <c r="D20" s="100"/>
    </row>
    <row r="21" spans="2:4" x14ac:dyDescent="0.2">
      <c r="B21" s="99" t="s">
        <v>503</v>
      </c>
      <c r="C21" s="100" t="s">
        <v>641</v>
      </c>
      <c r="D21" s="100"/>
    </row>
    <row r="22" spans="2:4" x14ac:dyDescent="0.2">
      <c r="B22" s="99" t="s">
        <v>418</v>
      </c>
      <c r="C22" s="100" t="s">
        <v>642</v>
      </c>
      <c r="D22" s="100"/>
    </row>
    <row r="23" spans="2:4" x14ac:dyDescent="0.2">
      <c r="B23" s="99" t="s">
        <v>506</v>
      </c>
      <c r="C23" s="100" t="s">
        <v>643</v>
      </c>
      <c r="D23" s="100"/>
    </row>
    <row r="24" spans="2:4" x14ac:dyDescent="0.2">
      <c r="B24" s="99" t="s">
        <v>507</v>
      </c>
      <c r="C24" s="100" t="s">
        <v>644</v>
      </c>
    </row>
    <row r="29" spans="2:4" x14ac:dyDescent="0.2">
      <c r="B29" t="s">
        <v>645</v>
      </c>
    </row>
    <row r="30" spans="2:4" x14ac:dyDescent="0.2">
      <c r="B30" t="s">
        <v>646</v>
      </c>
    </row>
    <row r="31" spans="2:4" ht="17" thickBot="1" x14ac:dyDescent="0.25"/>
    <row r="32" spans="2:4" ht="17" thickBot="1" x14ac:dyDescent="0.25">
      <c r="B32" s="159" t="s">
        <v>6</v>
      </c>
    </row>
    <row r="33" spans="2:3" ht="17" thickBot="1" x14ac:dyDescent="0.25">
      <c r="B33" s="159" t="s">
        <v>7</v>
      </c>
    </row>
    <row r="34" spans="2:3" ht="17" thickBot="1" x14ac:dyDescent="0.25">
      <c r="B34" s="159" t="s">
        <v>8</v>
      </c>
    </row>
    <row r="35" spans="2:3" ht="17" thickBot="1" x14ac:dyDescent="0.25">
      <c r="B35" s="159" t="s">
        <v>10</v>
      </c>
    </row>
    <row r="36" spans="2:3" ht="17" thickBot="1" x14ac:dyDescent="0.25">
      <c r="B36" s="159" t="s">
        <v>14</v>
      </c>
    </row>
    <row r="37" spans="2:3" ht="17" thickBot="1" x14ac:dyDescent="0.25">
      <c r="B37" s="159" t="s">
        <v>11</v>
      </c>
    </row>
    <row r="38" spans="2:3" ht="17" thickBot="1" x14ac:dyDescent="0.25">
      <c r="B38" s="159" t="s">
        <v>12</v>
      </c>
    </row>
    <row r="39" spans="2:3" ht="17" thickBot="1" x14ac:dyDescent="0.25">
      <c r="B39" s="159" t="s">
        <v>13</v>
      </c>
    </row>
    <row r="40" spans="2:3" ht="17" thickBot="1" x14ac:dyDescent="0.25">
      <c r="B40" s="159" t="s">
        <v>17</v>
      </c>
    </row>
    <row r="41" spans="2:3" ht="17" thickBot="1" x14ac:dyDescent="0.25">
      <c r="B41" s="159" t="s">
        <v>15</v>
      </c>
    </row>
    <row r="42" spans="2:3" ht="17" thickBot="1" x14ac:dyDescent="0.25">
      <c r="B42" s="159" t="s">
        <v>16</v>
      </c>
    </row>
    <row r="43" spans="2:3" ht="17" thickBot="1" x14ac:dyDescent="0.25">
      <c r="B43" s="159" t="s">
        <v>18</v>
      </c>
      <c r="C43" t="s">
        <v>649</v>
      </c>
    </row>
    <row r="44" spans="2:3" x14ac:dyDescent="0.2">
      <c r="B44" s="159" t="s">
        <v>19</v>
      </c>
    </row>
    <row r="45" spans="2:3" x14ac:dyDescent="0.2">
      <c r="B45" s="160" t="s">
        <v>647</v>
      </c>
      <c r="C45" t="s">
        <v>648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541A3-5E45-0546-A79B-3079CBE07E50}">
  <sheetPr>
    <tabColor theme="4"/>
  </sheetPr>
  <dimension ref="A1:C44"/>
  <sheetViews>
    <sheetView topLeftCell="A28" workbookViewId="0">
      <selection activeCell="C1" sqref="C1"/>
    </sheetView>
  </sheetViews>
  <sheetFormatPr baseColWidth="10" defaultRowHeight="16" x14ac:dyDescent="0.2"/>
  <cols>
    <col min="2" max="2" width="74" customWidth="1"/>
    <col min="3" max="3" width="68.83203125" bestFit="1" customWidth="1"/>
  </cols>
  <sheetData>
    <row r="1" spans="1:3" x14ac:dyDescent="0.2">
      <c r="A1" t="s">
        <v>340</v>
      </c>
    </row>
    <row r="3" spans="1:3" ht="17" thickBot="1" x14ac:dyDescent="0.25"/>
    <row r="4" spans="1:3" x14ac:dyDescent="0.2">
      <c r="B4" s="69" t="s">
        <v>367</v>
      </c>
      <c r="C4" s="89" t="s">
        <v>368</v>
      </c>
    </row>
    <row r="5" spans="1:3" x14ac:dyDescent="0.2">
      <c r="B5" s="67"/>
      <c r="C5" s="90"/>
    </row>
    <row r="6" spans="1:3" x14ac:dyDescent="0.2">
      <c r="B6" s="67" t="s">
        <v>369</v>
      </c>
      <c r="C6" s="90" t="s">
        <v>368</v>
      </c>
    </row>
    <row r="7" spans="1:3" x14ac:dyDescent="0.2">
      <c r="B7" s="67"/>
      <c r="C7" s="90"/>
    </row>
    <row r="8" spans="1:3" x14ac:dyDescent="0.2">
      <c r="B8" s="67" t="s">
        <v>370</v>
      </c>
      <c r="C8" s="90" t="s">
        <v>371</v>
      </c>
    </row>
    <row r="9" spans="1:3" x14ac:dyDescent="0.2">
      <c r="B9" s="67"/>
      <c r="C9" s="90"/>
    </row>
    <row r="10" spans="1:3" x14ac:dyDescent="0.2">
      <c r="B10" s="67" t="s">
        <v>372</v>
      </c>
      <c r="C10" s="90" t="s">
        <v>373</v>
      </c>
    </row>
    <row r="11" spans="1:3" x14ac:dyDescent="0.2">
      <c r="B11" s="67"/>
      <c r="C11" s="90"/>
    </row>
    <row r="12" spans="1:3" x14ac:dyDescent="0.2">
      <c r="B12" s="67" t="s">
        <v>374</v>
      </c>
      <c r="C12" s="90" t="s">
        <v>375</v>
      </c>
    </row>
    <row r="13" spans="1:3" x14ac:dyDescent="0.2">
      <c r="B13" s="67"/>
      <c r="C13" s="90"/>
    </row>
    <row r="14" spans="1:3" x14ac:dyDescent="0.2">
      <c r="B14" s="67" t="s">
        <v>376</v>
      </c>
      <c r="C14" s="90" t="s">
        <v>377</v>
      </c>
    </row>
    <row r="15" spans="1:3" x14ac:dyDescent="0.2">
      <c r="B15" s="67"/>
      <c r="C15" s="90"/>
    </row>
    <row r="16" spans="1:3" x14ac:dyDescent="0.2">
      <c r="B16" s="67" t="s">
        <v>378</v>
      </c>
      <c r="C16" s="90" t="s">
        <v>379</v>
      </c>
    </row>
    <row r="17" spans="2:3" x14ac:dyDescent="0.2">
      <c r="B17" s="67"/>
      <c r="C17" s="90"/>
    </row>
    <row r="18" spans="2:3" x14ac:dyDescent="0.2">
      <c r="B18" s="67" t="s">
        <v>380</v>
      </c>
      <c r="C18" s="90" t="s">
        <v>379</v>
      </c>
    </row>
    <row r="19" spans="2:3" x14ac:dyDescent="0.2">
      <c r="B19" s="67"/>
      <c r="C19" s="90"/>
    </row>
    <row r="20" spans="2:3" x14ac:dyDescent="0.2">
      <c r="B20" s="67" t="s">
        <v>381</v>
      </c>
      <c r="C20" s="90" t="s">
        <v>382</v>
      </c>
    </row>
    <row r="21" spans="2:3" x14ac:dyDescent="0.2">
      <c r="B21" s="67"/>
      <c r="C21" s="90"/>
    </row>
    <row r="22" spans="2:3" x14ac:dyDescent="0.2">
      <c r="B22" s="67" t="s">
        <v>383</v>
      </c>
      <c r="C22" s="90" t="s">
        <v>384</v>
      </c>
    </row>
    <row r="23" spans="2:3" x14ac:dyDescent="0.2">
      <c r="B23" s="67"/>
      <c r="C23" s="90"/>
    </row>
    <row r="24" spans="2:3" x14ac:dyDescent="0.2">
      <c r="B24" s="67" t="s">
        <v>376</v>
      </c>
      <c r="C24" s="90" t="s">
        <v>385</v>
      </c>
    </row>
    <row r="25" spans="2:3" x14ac:dyDescent="0.2">
      <c r="B25" s="67"/>
      <c r="C25" s="90"/>
    </row>
    <row r="26" spans="2:3" x14ac:dyDescent="0.2">
      <c r="B26" s="67" t="s">
        <v>386</v>
      </c>
      <c r="C26" s="90" t="s">
        <v>387</v>
      </c>
    </row>
    <row r="27" spans="2:3" x14ac:dyDescent="0.2">
      <c r="B27" s="67"/>
      <c r="C27" s="90"/>
    </row>
    <row r="28" spans="2:3" x14ac:dyDescent="0.2">
      <c r="B28" s="67" t="s">
        <v>388</v>
      </c>
      <c r="C28" s="90" t="s">
        <v>389</v>
      </c>
    </row>
    <row r="29" spans="2:3" x14ac:dyDescent="0.2">
      <c r="B29" s="67"/>
      <c r="C29" s="90"/>
    </row>
    <row r="30" spans="2:3" x14ac:dyDescent="0.2">
      <c r="B30" s="67" t="s">
        <v>390</v>
      </c>
      <c r="C30" s="90" t="s">
        <v>391</v>
      </c>
    </row>
    <row r="31" spans="2:3" x14ac:dyDescent="0.2">
      <c r="B31" s="67"/>
      <c r="C31" s="90"/>
    </row>
    <row r="32" spans="2:3" x14ac:dyDescent="0.2">
      <c r="B32" s="67" t="s">
        <v>392</v>
      </c>
      <c r="C32" s="90" t="s">
        <v>393</v>
      </c>
    </row>
    <row r="33" spans="2:3" x14ac:dyDescent="0.2">
      <c r="B33" s="67"/>
      <c r="C33" s="90"/>
    </row>
    <row r="34" spans="2:3" x14ac:dyDescent="0.2">
      <c r="B34" s="67" t="s">
        <v>394</v>
      </c>
      <c r="C34" s="90" t="s">
        <v>395</v>
      </c>
    </row>
    <row r="35" spans="2:3" x14ac:dyDescent="0.2">
      <c r="B35" s="67"/>
      <c r="C35" s="90"/>
    </row>
    <row r="36" spans="2:3" x14ac:dyDescent="0.2">
      <c r="B36" s="67" t="s">
        <v>396</v>
      </c>
      <c r="C36" s="90" t="s">
        <v>397</v>
      </c>
    </row>
    <row r="37" spans="2:3" x14ac:dyDescent="0.2">
      <c r="B37" s="67"/>
      <c r="C37" s="90"/>
    </row>
    <row r="38" spans="2:3" x14ac:dyDescent="0.2">
      <c r="B38" s="67" t="s">
        <v>398</v>
      </c>
      <c r="C38" s="90" t="s">
        <v>399</v>
      </c>
    </row>
    <row r="39" spans="2:3" x14ac:dyDescent="0.2">
      <c r="B39" s="67"/>
      <c r="C39" s="90"/>
    </row>
    <row r="40" spans="2:3" x14ac:dyDescent="0.2">
      <c r="B40" s="67" t="s">
        <v>400</v>
      </c>
      <c r="C40" s="90" t="s">
        <v>401</v>
      </c>
    </row>
    <row r="41" spans="2:3" x14ac:dyDescent="0.2">
      <c r="B41" s="67"/>
      <c r="C41" s="90"/>
    </row>
    <row r="42" spans="2:3" x14ac:dyDescent="0.2">
      <c r="B42" s="67" t="s">
        <v>402</v>
      </c>
      <c r="C42" s="90" t="s">
        <v>403</v>
      </c>
    </row>
    <row r="43" spans="2:3" x14ac:dyDescent="0.2">
      <c r="B43" s="67"/>
      <c r="C43" s="90"/>
    </row>
    <row r="44" spans="2:3" ht="17" thickBot="1" x14ac:dyDescent="0.25">
      <c r="B44" s="68" t="s">
        <v>404</v>
      </c>
      <c r="C44" s="91" t="s">
        <v>405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8D57B-99D0-E448-BE96-69FC8390281D}">
  <sheetPr>
    <tabColor theme="4"/>
  </sheetPr>
  <dimension ref="B4:D9"/>
  <sheetViews>
    <sheetView workbookViewId="0">
      <selection activeCell="D16" sqref="D16"/>
    </sheetView>
  </sheetViews>
  <sheetFormatPr baseColWidth="10" defaultRowHeight="16" x14ac:dyDescent="0.2"/>
  <cols>
    <col min="2" max="2" width="44.5" bestFit="1" customWidth="1"/>
  </cols>
  <sheetData>
    <row r="4" spans="2:4" x14ac:dyDescent="0.2">
      <c r="B4" s="93" t="s">
        <v>410</v>
      </c>
      <c r="C4" s="94" t="s">
        <v>411</v>
      </c>
    </row>
    <row r="5" spans="2:4" x14ac:dyDescent="0.2">
      <c r="B5" s="93" t="s">
        <v>412</v>
      </c>
      <c r="C5" s="94" t="s">
        <v>413</v>
      </c>
      <c r="D5" s="94"/>
    </row>
    <row r="6" spans="2:4" x14ac:dyDescent="0.2">
      <c r="B6" s="93" t="s">
        <v>414</v>
      </c>
      <c r="C6" s="94" t="s">
        <v>415</v>
      </c>
      <c r="D6" s="94"/>
    </row>
    <row r="7" spans="2:4" x14ac:dyDescent="0.2">
      <c r="B7" s="93" t="s">
        <v>416</v>
      </c>
      <c r="C7" s="94" t="s">
        <v>417</v>
      </c>
      <c r="D7" s="94"/>
    </row>
    <row r="8" spans="2:4" x14ac:dyDescent="0.2">
      <c r="B8" s="93" t="s">
        <v>418</v>
      </c>
      <c r="C8" s="94" t="s">
        <v>419</v>
      </c>
      <c r="D8" s="94"/>
    </row>
    <row r="9" spans="2:4" x14ac:dyDescent="0.2">
      <c r="B9" s="93" t="s">
        <v>420</v>
      </c>
      <c r="C9" s="94" t="s">
        <v>421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DB74A-0F9B-4240-8576-31BA6527CFF6}">
  <sheetPr>
    <tabColor theme="4"/>
  </sheetPr>
  <dimension ref="B4:D27"/>
  <sheetViews>
    <sheetView topLeftCell="A13" workbookViewId="0">
      <selection activeCell="G37" sqref="G37"/>
    </sheetView>
  </sheetViews>
  <sheetFormatPr baseColWidth="10" defaultRowHeight="16" x14ac:dyDescent="0.2"/>
  <cols>
    <col min="2" max="2" width="82" bestFit="1" customWidth="1"/>
  </cols>
  <sheetData>
    <row r="4" spans="2:4" x14ac:dyDescent="0.2">
      <c r="B4" s="99" t="s">
        <v>475</v>
      </c>
      <c r="C4" s="100" t="s">
        <v>411</v>
      </c>
    </row>
    <row r="5" spans="2:4" x14ac:dyDescent="0.2">
      <c r="B5" s="99" t="s">
        <v>412</v>
      </c>
      <c r="C5" s="100" t="s">
        <v>585</v>
      </c>
      <c r="D5" s="100"/>
    </row>
    <row r="6" spans="2:4" x14ac:dyDescent="0.2">
      <c r="B6" s="99" t="s">
        <v>437</v>
      </c>
      <c r="C6" s="100" t="s">
        <v>586</v>
      </c>
      <c r="D6" s="100"/>
    </row>
    <row r="7" spans="2:4" x14ac:dyDescent="0.2">
      <c r="B7" s="99" t="s">
        <v>438</v>
      </c>
      <c r="C7" s="100" t="s">
        <v>587</v>
      </c>
      <c r="D7" s="100"/>
    </row>
    <row r="8" spans="2:4" x14ac:dyDescent="0.2">
      <c r="B8" s="99" t="s">
        <v>439</v>
      </c>
      <c r="C8" s="100" t="s">
        <v>587</v>
      </c>
      <c r="D8" s="100"/>
    </row>
    <row r="9" spans="2:4" x14ac:dyDescent="0.2">
      <c r="B9" s="99" t="s">
        <v>440</v>
      </c>
      <c r="C9" s="100" t="s">
        <v>588</v>
      </c>
      <c r="D9" s="100"/>
    </row>
    <row r="10" spans="2:4" x14ac:dyDescent="0.2">
      <c r="B10" s="99" t="s">
        <v>441</v>
      </c>
      <c r="C10" s="100" t="s">
        <v>575</v>
      </c>
      <c r="D10" s="100"/>
    </row>
    <row r="11" spans="2:4" x14ac:dyDescent="0.2">
      <c r="B11" s="99" t="s">
        <v>442</v>
      </c>
      <c r="C11" s="100" t="s">
        <v>589</v>
      </c>
      <c r="D11" s="100"/>
    </row>
    <row r="12" spans="2:4" x14ac:dyDescent="0.2">
      <c r="B12" s="99" t="s">
        <v>443</v>
      </c>
      <c r="C12" s="100" t="s">
        <v>590</v>
      </c>
      <c r="D12" s="100"/>
    </row>
    <row r="13" spans="2:4" x14ac:dyDescent="0.2">
      <c r="B13" s="99" t="s">
        <v>591</v>
      </c>
      <c r="C13" s="100" t="s">
        <v>592</v>
      </c>
      <c r="D13" s="100"/>
    </row>
    <row r="14" spans="2:4" x14ac:dyDescent="0.2">
      <c r="B14" s="99" t="s">
        <v>444</v>
      </c>
      <c r="C14" s="100" t="s">
        <v>590</v>
      </c>
      <c r="D14" s="100"/>
    </row>
    <row r="15" spans="2:4" s="103" customFormat="1" x14ac:dyDescent="0.2">
      <c r="B15" s="104" t="s">
        <v>445</v>
      </c>
      <c r="C15" s="105" t="s">
        <v>593</v>
      </c>
      <c r="D15" s="105"/>
    </row>
    <row r="16" spans="2:4" x14ac:dyDescent="0.2">
      <c r="B16" s="99" t="s">
        <v>446</v>
      </c>
      <c r="C16" s="100" t="s">
        <v>594</v>
      </c>
      <c r="D16" s="100"/>
    </row>
    <row r="17" spans="2:4" s="103" customFormat="1" x14ac:dyDescent="0.2">
      <c r="B17" s="104" t="s">
        <v>447</v>
      </c>
      <c r="C17" s="105" t="s">
        <v>595</v>
      </c>
      <c r="D17" s="105"/>
    </row>
    <row r="18" spans="2:4" x14ac:dyDescent="0.2">
      <c r="B18" s="99" t="s">
        <v>448</v>
      </c>
      <c r="C18" s="100" t="s">
        <v>596</v>
      </c>
      <c r="D18" s="100"/>
    </row>
    <row r="19" spans="2:4" x14ac:dyDescent="0.2">
      <c r="B19" s="99" t="s">
        <v>449</v>
      </c>
      <c r="C19" s="100" t="s">
        <v>597</v>
      </c>
      <c r="D19" s="100"/>
    </row>
    <row r="20" spans="2:4" x14ac:dyDescent="0.2">
      <c r="B20" s="99" t="s">
        <v>450</v>
      </c>
      <c r="C20" s="100" t="s">
        <v>598</v>
      </c>
      <c r="D20" s="100"/>
    </row>
    <row r="21" spans="2:4" x14ac:dyDescent="0.2">
      <c r="B21" s="99" t="s">
        <v>451</v>
      </c>
      <c r="C21" s="100" t="s">
        <v>599</v>
      </c>
      <c r="D21" s="100"/>
    </row>
    <row r="22" spans="2:4" x14ac:dyDescent="0.2">
      <c r="B22" s="99" t="s">
        <v>452</v>
      </c>
      <c r="C22" s="100" t="s">
        <v>600</v>
      </c>
      <c r="D22" s="100"/>
    </row>
    <row r="23" spans="2:4" x14ac:dyDescent="0.2">
      <c r="B23" s="99" t="s">
        <v>453</v>
      </c>
      <c r="C23" s="100" t="s">
        <v>601</v>
      </c>
      <c r="D23" s="100"/>
    </row>
    <row r="24" spans="2:4" x14ac:dyDescent="0.2">
      <c r="B24" s="99" t="s">
        <v>454</v>
      </c>
      <c r="C24" s="100" t="s">
        <v>602</v>
      </c>
      <c r="D24" s="100"/>
    </row>
    <row r="25" spans="2:4" x14ac:dyDescent="0.2">
      <c r="B25" s="99" t="s">
        <v>455</v>
      </c>
      <c r="C25" s="100" t="s">
        <v>577</v>
      </c>
      <c r="D25" s="100"/>
    </row>
    <row r="26" spans="2:4" x14ac:dyDescent="0.2">
      <c r="B26" s="99" t="s">
        <v>418</v>
      </c>
      <c r="C26" s="100" t="s">
        <v>603</v>
      </c>
      <c r="D26" s="100"/>
    </row>
    <row r="27" spans="2:4" x14ac:dyDescent="0.2">
      <c r="B27" s="99" t="s">
        <v>456</v>
      </c>
      <c r="C27" s="100" t="s">
        <v>604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6ED91-E352-074A-B9FE-6A826C6B4A82}">
  <sheetPr>
    <tabColor theme="5"/>
  </sheetPr>
  <dimension ref="B5:H71"/>
  <sheetViews>
    <sheetView topLeftCell="A47" workbookViewId="0">
      <selection activeCell="B57" sqref="B57:C71"/>
    </sheetView>
  </sheetViews>
  <sheetFormatPr baseColWidth="10" defaultRowHeight="16" x14ac:dyDescent="0.2"/>
  <cols>
    <col min="2" max="2" width="82" bestFit="1" customWidth="1"/>
    <col min="3" max="3" width="77.6640625" bestFit="1" customWidth="1"/>
  </cols>
  <sheetData>
    <row r="5" spans="2:4" x14ac:dyDescent="0.2">
      <c r="B5" s="99" t="s">
        <v>475</v>
      </c>
      <c r="C5" s="100" t="s">
        <v>411</v>
      </c>
    </row>
    <row r="6" spans="2:4" x14ac:dyDescent="0.2">
      <c r="B6" s="99" t="s">
        <v>412</v>
      </c>
      <c r="C6" s="100" t="s">
        <v>476</v>
      </c>
      <c r="D6" s="100"/>
    </row>
    <row r="7" spans="2:4" x14ac:dyDescent="0.2">
      <c r="B7" s="99" t="s">
        <v>437</v>
      </c>
      <c r="C7" s="100" t="s">
        <v>461</v>
      </c>
      <c r="D7" s="100"/>
    </row>
    <row r="8" spans="2:4" x14ac:dyDescent="0.2">
      <c r="B8" s="99" t="s">
        <v>438</v>
      </c>
      <c r="C8" s="100" t="s">
        <v>461</v>
      </c>
      <c r="D8" s="100"/>
    </row>
    <row r="9" spans="2:4" x14ac:dyDescent="0.2">
      <c r="B9" s="99" t="s">
        <v>439</v>
      </c>
      <c r="C9" s="100" t="s">
        <v>461</v>
      </c>
      <c r="D9" s="100"/>
    </row>
    <row r="10" spans="2:4" x14ac:dyDescent="0.2">
      <c r="B10" s="99" t="s">
        <v>462</v>
      </c>
      <c r="C10" s="100" t="s">
        <v>463</v>
      </c>
      <c r="D10" s="100"/>
    </row>
    <row r="11" spans="2:4" x14ac:dyDescent="0.2">
      <c r="B11" s="99" t="s">
        <v>441</v>
      </c>
      <c r="C11" s="100" t="s">
        <v>464</v>
      </c>
      <c r="D11" s="100"/>
    </row>
    <row r="12" spans="2:4" x14ac:dyDescent="0.2">
      <c r="B12" s="99" t="s">
        <v>442</v>
      </c>
      <c r="C12" s="100" t="s">
        <v>465</v>
      </c>
      <c r="D12" s="100"/>
    </row>
    <row r="13" spans="2:4" x14ac:dyDescent="0.2">
      <c r="B13" s="99" t="s">
        <v>444</v>
      </c>
      <c r="C13" s="100" t="s">
        <v>536</v>
      </c>
      <c r="D13" s="100"/>
    </row>
    <row r="14" spans="2:4" x14ac:dyDescent="0.2">
      <c r="B14" s="99" t="s">
        <v>462</v>
      </c>
      <c r="C14" s="100" t="s">
        <v>655</v>
      </c>
      <c r="D14" s="100"/>
    </row>
    <row r="15" spans="2:4" x14ac:dyDescent="0.2">
      <c r="B15" s="99" t="s">
        <v>445</v>
      </c>
      <c r="C15" s="100" t="s">
        <v>567</v>
      </c>
      <c r="D15" s="100"/>
    </row>
    <row r="16" spans="2:4" x14ac:dyDescent="0.2">
      <c r="B16" s="99" t="s">
        <v>446</v>
      </c>
      <c r="C16" s="100" t="s">
        <v>527</v>
      </c>
      <c r="D16" s="100"/>
    </row>
    <row r="17" spans="2:8" x14ac:dyDescent="0.2">
      <c r="B17" s="99" t="s">
        <v>612</v>
      </c>
      <c r="C17" s="100" t="s">
        <v>656</v>
      </c>
      <c r="D17" s="100"/>
    </row>
    <row r="18" spans="2:8" x14ac:dyDescent="0.2">
      <c r="B18" s="99" t="s">
        <v>448</v>
      </c>
      <c r="C18" s="100" t="s">
        <v>657</v>
      </c>
      <c r="D18" s="100"/>
    </row>
    <row r="19" spans="2:8" x14ac:dyDescent="0.2">
      <c r="B19" s="99" t="s">
        <v>449</v>
      </c>
      <c r="C19" s="100" t="s">
        <v>658</v>
      </c>
      <c r="D19" s="100"/>
    </row>
    <row r="20" spans="2:8" x14ac:dyDescent="0.2">
      <c r="B20" s="99" t="s">
        <v>468</v>
      </c>
      <c r="C20" s="100" t="s">
        <v>659</v>
      </c>
      <c r="D20" s="100"/>
    </row>
    <row r="21" spans="2:8" x14ac:dyDescent="0.2">
      <c r="B21" s="99" t="s">
        <v>451</v>
      </c>
      <c r="C21" s="100" t="s">
        <v>660</v>
      </c>
      <c r="D21" s="100"/>
    </row>
    <row r="22" spans="2:8" x14ac:dyDescent="0.2">
      <c r="B22" s="99" t="s">
        <v>469</v>
      </c>
      <c r="C22" s="100" t="s">
        <v>661</v>
      </c>
      <c r="D22" s="100"/>
    </row>
    <row r="23" spans="2:8" x14ac:dyDescent="0.2">
      <c r="B23" s="99" t="s">
        <v>453</v>
      </c>
      <c r="C23" s="100" t="s">
        <v>662</v>
      </c>
      <c r="D23" s="100"/>
    </row>
    <row r="24" spans="2:8" x14ac:dyDescent="0.2">
      <c r="B24" s="99" t="s">
        <v>470</v>
      </c>
      <c r="C24" s="100" t="s">
        <v>663</v>
      </c>
      <c r="D24" s="100"/>
    </row>
    <row r="25" spans="2:8" x14ac:dyDescent="0.2">
      <c r="B25" s="104" t="s">
        <v>455</v>
      </c>
      <c r="C25" s="105" t="s">
        <v>664</v>
      </c>
      <c r="D25" s="105"/>
      <c r="E25" s="103"/>
      <c r="F25" s="103"/>
      <c r="G25" s="103"/>
      <c r="H25" s="103"/>
    </row>
    <row r="26" spans="2:8" x14ac:dyDescent="0.2">
      <c r="B26" s="99" t="s">
        <v>418</v>
      </c>
      <c r="C26" s="100" t="s">
        <v>665</v>
      </c>
      <c r="D26" s="100"/>
    </row>
    <row r="27" spans="2:8" x14ac:dyDescent="0.2">
      <c r="B27" s="99" t="s">
        <v>456</v>
      </c>
      <c r="C27" s="100" t="s">
        <v>666</v>
      </c>
    </row>
    <row r="30" spans="2:8" x14ac:dyDescent="0.2">
      <c r="B30" s="206" t="s">
        <v>946</v>
      </c>
    </row>
    <row r="32" spans="2:8" x14ac:dyDescent="0.2">
      <c r="B32" s="93" t="s">
        <v>410</v>
      </c>
      <c r="C32" s="94" t="s">
        <v>411</v>
      </c>
    </row>
    <row r="33" spans="2:4" x14ac:dyDescent="0.2">
      <c r="B33" s="93" t="s">
        <v>412</v>
      </c>
      <c r="C33" s="94" t="s">
        <v>476</v>
      </c>
      <c r="D33" s="94"/>
    </row>
    <row r="34" spans="2:4" x14ac:dyDescent="0.2">
      <c r="B34" s="93" t="s">
        <v>437</v>
      </c>
      <c r="C34" s="94" t="s">
        <v>461</v>
      </c>
      <c r="D34" s="94"/>
    </row>
    <row r="35" spans="2:4" x14ac:dyDescent="0.2">
      <c r="B35" s="93" t="s">
        <v>438</v>
      </c>
      <c r="C35" s="94" t="s">
        <v>461</v>
      </c>
      <c r="D35" s="94"/>
    </row>
    <row r="36" spans="2:4" x14ac:dyDescent="0.2">
      <c r="B36" s="93" t="s">
        <v>439</v>
      </c>
      <c r="C36" s="94" t="s">
        <v>461</v>
      </c>
      <c r="D36" s="94"/>
    </row>
    <row r="37" spans="2:4" x14ac:dyDescent="0.2">
      <c r="B37" s="93" t="s">
        <v>462</v>
      </c>
      <c r="C37" s="94" t="s">
        <v>463</v>
      </c>
      <c r="D37" s="94"/>
    </row>
    <row r="38" spans="2:4" x14ac:dyDescent="0.2">
      <c r="B38" s="93" t="s">
        <v>441</v>
      </c>
      <c r="C38" s="94" t="s">
        <v>464</v>
      </c>
      <c r="D38" s="94"/>
    </row>
    <row r="39" spans="2:4" x14ac:dyDescent="0.2">
      <c r="B39" s="93" t="s">
        <v>442</v>
      </c>
      <c r="C39" s="94" t="s">
        <v>465</v>
      </c>
      <c r="D39" s="94"/>
    </row>
    <row r="40" spans="2:4" x14ac:dyDescent="0.2">
      <c r="B40" s="93" t="s">
        <v>444</v>
      </c>
      <c r="C40" s="94" t="s">
        <v>536</v>
      </c>
      <c r="D40" s="94"/>
    </row>
    <row r="41" spans="2:4" x14ac:dyDescent="0.2">
      <c r="B41" s="93" t="s">
        <v>462</v>
      </c>
      <c r="C41" s="94" t="s">
        <v>655</v>
      </c>
      <c r="D41" s="94"/>
    </row>
    <row r="42" spans="2:4" x14ac:dyDescent="0.2">
      <c r="B42" s="93" t="s">
        <v>445</v>
      </c>
      <c r="C42" s="94" t="s">
        <v>567</v>
      </c>
      <c r="D42" s="94"/>
    </row>
    <row r="43" spans="2:4" x14ac:dyDescent="0.2">
      <c r="B43" s="93" t="s">
        <v>446</v>
      </c>
      <c r="C43" s="94" t="s">
        <v>527</v>
      </c>
      <c r="D43" s="94"/>
    </row>
    <row r="44" spans="2:4" x14ac:dyDescent="0.2">
      <c r="B44" s="93" t="s">
        <v>612</v>
      </c>
      <c r="C44" s="94" t="s">
        <v>656</v>
      </c>
      <c r="D44" s="94"/>
    </row>
    <row r="45" spans="2:4" x14ac:dyDescent="0.2">
      <c r="B45" s="93" t="s">
        <v>448</v>
      </c>
      <c r="C45" s="94" t="s">
        <v>936</v>
      </c>
      <c r="D45" s="94"/>
    </row>
    <row r="46" spans="2:4" x14ac:dyDescent="0.2">
      <c r="B46" s="93" t="s">
        <v>449</v>
      </c>
      <c r="C46" s="94" t="s">
        <v>937</v>
      </c>
      <c r="D46" s="94"/>
    </row>
    <row r="47" spans="2:4" x14ac:dyDescent="0.2">
      <c r="B47" s="93" t="s">
        <v>468</v>
      </c>
      <c r="C47" s="94" t="s">
        <v>938</v>
      </c>
      <c r="D47" s="94"/>
    </row>
    <row r="48" spans="2:4" x14ac:dyDescent="0.2">
      <c r="B48" s="93" t="s">
        <v>451</v>
      </c>
      <c r="C48" s="94" t="s">
        <v>939</v>
      </c>
      <c r="D48" s="94"/>
    </row>
    <row r="49" spans="2:4" x14ac:dyDescent="0.2">
      <c r="B49" s="93" t="s">
        <v>469</v>
      </c>
      <c r="C49" s="94" t="s">
        <v>940</v>
      </c>
      <c r="D49" s="94"/>
    </row>
    <row r="50" spans="2:4" x14ac:dyDescent="0.2">
      <c r="B50" s="93" t="s">
        <v>453</v>
      </c>
      <c r="C50" s="94" t="s">
        <v>941</v>
      </c>
      <c r="D50" s="94"/>
    </row>
    <row r="51" spans="2:4" x14ac:dyDescent="0.2">
      <c r="B51" s="202" t="s">
        <v>470</v>
      </c>
      <c r="C51" s="203" t="s">
        <v>942</v>
      </c>
      <c r="D51" s="94"/>
    </row>
    <row r="52" spans="2:4" x14ac:dyDescent="0.2">
      <c r="B52" s="93" t="s">
        <v>455</v>
      </c>
      <c r="C52" s="94" t="s">
        <v>943</v>
      </c>
      <c r="D52" s="94"/>
    </row>
    <row r="53" spans="2:4" x14ac:dyDescent="0.2">
      <c r="B53" s="93" t="s">
        <v>418</v>
      </c>
      <c r="C53" s="94" t="s">
        <v>944</v>
      </c>
      <c r="D53" s="94"/>
    </row>
    <row r="54" spans="2:4" x14ac:dyDescent="0.2">
      <c r="B54" s="93" t="s">
        <v>456</v>
      </c>
      <c r="C54" s="94" t="s">
        <v>945</v>
      </c>
    </row>
    <row r="57" spans="2:4" ht="17" thickBot="1" x14ac:dyDescent="0.25">
      <c r="C57" s="203" t="s">
        <v>948</v>
      </c>
    </row>
    <row r="58" spans="2:4" ht="17" thickBot="1" x14ac:dyDescent="0.25">
      <c r="B58" s="161" t="s">
        <v>6</v>
      </c>
      <c r="C58" s="163"/>
    </row>
    <row r="59" spans="2:4" ht="17" thickBot="1" x14ac:dyDescent="0.25">
      <c r="B59" s="161" t="s">
        <v>7</v>
      </c>
      <c r="C59" s="164"/>
    </row>
    <row r="60" spans="2:4" ht="17" thickBot="1" x14ac:dyDescent="0.25">
      <c r="B60" s="161" t="s">
        <v>8</v>
      </c>
      <c r="C60" s="164"/>
    </row>
    <row r="61" spans="2:4" ht="17" thickBot="1" x14ac:dyDescent="0.25">
      <c r="B61" s="161" t="s">
        <v>10</v>
      </c>
      <c r="C61" s="164"/>
    </row>
    <row r="62" spans="2:4" ht="17" thickBot="1" x14ac:dyDescent="0.25">
      <c r="B62" s="161" t="s">
        <v>14</v>
      </c>
      <c r="C62" s="164"/>
    </row>
    <row r="63" spans="2:4" ht="18" thickBot="1" x14ac:dyDescent="0.25">
      <c r="B63" s="161" t="s">
        <v>11</v>
      </c>
      <c r="C63" s="204" t="s">
        <v>947</v>
      </c>
    </row>
    <row r="64" spans="2:4" ht="17" thickBot="1" x14ac:dyDescent="0.25">
      <c r="B64" s="161" t="s">
        <v>12</v>
      </c>
      <c r="C64" s="164"/>
    </row>
    <row r="65" spans="2:3" ht="17" thickBot="1" x14ac:dyDescent="0.25">
      <c r="B65" s="161" t="s">
        <v>13</v>
      </c>
      <c r="C65" s="164"/>
    </row>
    <row r="66" spans="2:3" ht="17" thickBot="1" x14ac:dyDescent="0.25">
      <c r="B66" s="161" t="s">
        <v>17</v>
      </c>
      <c r="C66" s="164"/>
    </row>
    <row r="67" spans="2:3" ht="17" thickBot="1" x14ac:dyDescent="0.25">
      <c r="B67" s="161" t="s">
        <v>15</v>
      </c>
      <c r="C67" s="164"/>
    </row>
    <row r="68" spans="2:3" ht="17" thickBot="1" x14ac:dyDescent="0.25">
      <c r="B68" s="161" t="s">
        <v>16</v>
      </c>
      <c r="C68" s="164"/>
    </row>
    <row r="69" spans="2:3" ht="17" thickBot="1" x14ac:dyDescent="0.25">
      <c r="B69" s="161" t="s">
        <v>18</v>
      </c>
      <c r="C69" s="164" t="s">
        <v>649</v>
      </c>
    </row>
    <row r="70" spans="2:3" x14ac:dyDescent="0.2">
      <c r="B70" s="161" t="s">
        <v>19</v>
      </c>
      <c r="C70" s="164"/>
    </row>
    <row r="71" spans="2:3" ht="17" thickBot="1" x14ac:dyDescent="0.25">
      <c r="B71" s="162" t="s">
        <v>647</v>
      </c>
      <c r="C71" s="165" t="s">
        <v>648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2D5D5-C01E-6748-884E-D8A25F27A2A4}">
  <sheetPr>
    <tabColor theme="5"/>
  </sheetPr>
  <dimension ref="B4:D41"/>
  <sheetViews>
    <sheetView topLeftCell="A14" workbookViewId="0">
      <selection activeCell="C27" sqref="C27"/>
    </sheetView>
  </sheetViews>
  <sheetFormatPr baseColWidth="10" defaultRowHeight="16" x14ac:dyDescent="0.2"/>
  <cols>
    <col min="2" max="2" width="75.33203125" bestFit="1" customWidth="1"/>
    <col min="3" max="3" width="77.6640625" bestFit="1" customWidth="1"/>
  </cols>
  <sheetData>
    <row r="4" spans="2:4" x14ac:dyDescent="0.2">
      <c r="B4" s="93" t="s">
        <v>410</v>
      </c>
      <c r="C4" s="94" t="s">
        <v>411</v>
      </c>
    </row>
    <row r="5" spans="2:4" x14ac:dyDescent="0.2">
      <c r="B5" s="93" t="s">
        <v>412</v>
      </c>
      <c r="C5" s="94" t="s">
        <v>476</v>
      </c>
      <c r="D5" s="94"/>
    </row>
    <row r="6" spans="2:4" x14ac:dyDescent="0.2">
      <c r="B6" s="93" t="s">
        <v>437</v>
      </c>
      <c r="C6" s="94" t="s">
        <v>477</v>
      </c>
      <c r="D6" s="94"/>
    </row>
    <row r="7" spans="2:4" x14ac:dyDescent="0.2">
      <c r="B7" s="93" t="s">
        <v>438</v>
      </c>
      <c r="C7" s="94" t="s">
        <v>477</v>
      </c>
      <c r="D7" s="94"/>
    </row>
    <row r="8" spans="2:4" x14ac:dyDescent="0.2">
      <c r="B8" s="93" t="s">
        <v>439</v>
      </c>
      <c r="C8" s="94" t="s">
        <v>477</v>
      </c>
      <c r="D8" s="94"/>
    </row>
    <row r="9" spans="2:4" x14ac:dyDescent="0.2">
      <c r="B9" s="93" t="s">
        <v>462</v>
      </c>
      <c r="C9" s="94" t="s">
        <v>478</v>
      </c>
      <c r="D9" s="94"/>
    </row>
    <row r="10" spans="2:4" x14ac:dyDescent="0.2">
      <c r="B10" s="93" t="s">
        <v>441</v>
      </c>
      <c r="C10" s="94" t="s">
        <v>722</v>
      </c>
      <c r="D10" s="94"/>
    </row>
    <row r="11" spans="2:4" x14ac:dyDescent="0.2">
      <c r="B11" s="93" t="s">
        <v>442</v>
      </c>
      <c r="C11" s="94" t="s">
        <v>723</v>
      </c>
      <c r="D11" s="94"/>
    </row>
    <row r="12" spans="2:4" x14ac:dyDescent="0.2">
      <c r="B12" s="93" t="s">
        <v>444</v>
      </c>
      <c r="C12" s="94" t="s">
        <v>724</v>
      </c>
      <c r="D12" s="94"/>
    </row>
    <row r="13" spans="2:4" x14ac:dyDescent="0.2">
      <c r="B13" s="93" t="s">
        <v>445</v>
      </c>
      <c r="C13" s="94" t="s">
        <v>725</v>
      </c>
      <c r="D13" s="94"/>
    </row>
    <row r="14" spans="2:4" x14ac:dyDescent="0.2">
      <c r="B14" s="93" t="s">
        <v>446</v>
      </c>
      <c r="C14" s="94" t="s">
        <v>726</v>
      </c>
      <c r="D14" s="94"/>
    </row>
    <row r="15" spans="2:4" x14ac:dyDescent="0.2">
      <c r="B15" s="93" t="s">
        <v>467</v>
      </c>
      <c r="C15" s="94" t="s">
        <v>727</v>
      </c>
      <c r="D15" s="94"/>
    </row>
    <row r="16" spans="2:4" x14ac:dyDescent="0.2">
      <c r="B16" s="93" t="s">
        <v>448</v>
      </c>
      <c r="C16" s="94" t="s">
        <v>728</v>
      </c>
      <c r="D16" s="94"/>
    </row>
    <row r="17" spans="2:4" x14ac:dyDescent="0.2">
      <c r="B17" s="93" t="s">
        <v>449</v>
      </c>
      <c r="C17" s="94" t="s">
        <v>729</v>
      </c>
      <c r="D17" s="94"/>
    </row>
    <row r="18" spans="2:4" x14ac:dyDescent="0.2">
      <c r="B18" s="93" t="s">
        <v>468</v>
      </c>
      <c r="C18" s="94" t="s">
        <v>730</v>
      </c>
      <c r="D18" s="94"/>
    </row>
    <row r="19" spans="2:4" x14ac:dyDescent="0.2">
      <c r="B19" s="93" t="s">
        <v>451</v>
      </c>
      <c r="C19" s="94" t="s">
        <v>731</v>
      </c>
      <c r="D19" s="94"/>
    </row>
    <row r="20" spans="2:4" x14ac:dyDescent="0.2">
      <c r="B20" s="93" t="s">
        <v>469</v>
      </c>
      <c r="C20" s="94" t="s">
        <v>732</v>
      </c>
      <c r="D20" s="94"/>
    </row>
    <row r="21" spans="2:4" x14ac:dyDescent="0.2">
      <c r="B21" s="93" t="s">
        <v>453</v>
      </c>
      <c r="C21" s="94" t="s">
        <v>733</v>
      </c>
      <c r="D21" s="94"/>
    </row>
    <row r="22" spans="2:4" x14ac:dyDescent="0.2">
      <c r="B22" s="93" t="s">
        <v>470</v>
      </c>
      <c r="C22" s="94" t="s">
        <v>734</v>
      </c>
      <c r="D22" s="94"/>
    </row>
    <row r="23" spans="2:4" x14ac:dyDescent="0.2">
      <c r="B23" s="93" t="s">
        <v>455</v>
      </c>
      <c r="C23" s="94" t="s">
        <v>735</v>
      </c>
      <c r="D23" s="94"/>
    </row>
    <row r="24" spans="2:4" x14ac:dyDescent="0.2">
      <c r="B24" s="93" t="s">
        <v>418</v>
      </c>
      <c r="C24" s="94" t="s">
        <v>736</v>
      </c>
      <c r="D24" s="94"/>
    </row>
    <row r="25" spans="2:4" x14ac:dyDescent="0.2">
      <c r="B25" s="93" t="s">
        <v>456</v>
      </c>
      <c r="C25" s="94" t="s">
        <v>737</v>
      </c>
    </row>
    <row r="27" spans="2:4" ht="17" thickBot="1" x14ac:dyDescent="0.25">
      <c r="C27" s="94" t="s">
        <v>950</v>
      </c>
    </row>
    <row r="28" spans="2:4" ht="17" thickBot="1" x14ac:dyDescent="0.25">
      <c r="B28" s="161" t="s">
        <v>6</v>
      </c>
      <c r="C28" s="163"/>
    </row>
    <row r="29" spans="2:4" ht="17" thickBot="1" x14ac:dyDescent="0.25">
      <c r="B29" s="161" t="s">
        <v>7</v>
      </c>
      <c r="C29" s="164"/>
    </row>
    <row r="30" spans="2:4" ht="17" thickBot="1" x14ac:dyDescent="0.25">
      <c r="B30" s="161" t="s">
        <v>8</v>
      </c>
      <c r="C30" s="164"/>
    </row>
    <row r="31" spans="2:4" ht="17" thickBot="1" x14ac:dyDescent="0.25">
      <c r="B31" s="161" t="s">
        <v>10</v>
      </c>
      <c r="C31" s="164"/>
    </row>
    <row r="32" spans="2:4" ht="17" thickBot="1" x14ac:dyDescent="0.25">
      <c r="B32" s="161" t="s">
        <v>14</v>
      </c>
      <c r="C32" s="164"/>
    </row>
    <row r="33" spans="2:3" ht="17" thickBot="1" x14ac:dyDescent="0.25">
      <c r="B33" s="161" t="s">
        <v>11</v>
      </c>
      <c r="C33" s="164"/>
    </row>
    <row r="34" spans="2:3" ht="17" thickBot="1" x14ac:dyDescent="0.25">
      <c r="B34" s="161" t="s">
        <v>12</v>
      </c>
      <c r="C34" s="164"/>
    </row>
    <row r="35" spans="2:3" ht="17" thickBot="1" x14ac:dyDescent="0.25">
      <c r="B35" s="161" t="s">
        <v>13</v>
      </c>
      <c r="C35" s="164"/>
    </row>
    <row r="36" spans="2:3" ht="17" thickBot="1" x14ac:dyDescent="0.25">
      <c r="B36" s="161" t="s">
        <v>17</v>
      </c>
      <c r="C36" s="164"/>
    </row>
    <row r="37" spans="2:3" ht="17" thickBot="1" x14ac:dyDescent="0.25">
      <c r="B37" s="161" t="s">
        <v>15</v>
      </c>
      <c r="C37" s="164"/>
    </row>
    <row r="38" spans="2:3" ht="17" thickBot="1" x14ac:dyDescent="0.25">
      <c r="B38" s="161" t="s">
        <v>16</v>
      </c>
      <c r="C38" s="164"/>
    </row>
    <row r="39" spans="2:3" ht="17" thickBot="1" x14ac:dyDescent="0.25">
      <c r="B39" s="161" t="s">
        <v>18</v>
      </c>
      <c r="C39" s="164" t="s">
        <v>649</v>
      </c>
    </row>
    <row r="40" spans="2:3" x14ac:dyDescent="0.2">
      <c r="B40" s="161" t="s">
        <v>19</v>
      </c>
      <c r="C40" s="164"/>
    </row>
    <row r="41" spans="2:3" ht="17" thickBot="1" x14ac:dyDescent="0.25">
      <c r="B41" s="162" t="s">
        <v>647</v>
      </c>
      <c r="C41" s="165" t="s">
        <v>648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914C-0B03-C34A-B71B-5E4421B7E1FF}">
  <dimension ref="C4:E25"/>
  <sheetViews>
    <sheetView workbookViewId="0">
      <selection activeCell="F1" sqref="F1"/>
    </sheetView>
  </sheetViews>
  <sheetFormatPr baseColWidth="10" defaultRowHeight="16" x14ac:dyDescent="0.2"/>
  <cols>
    <col min="3" max="3" width="76.33203125" bestFit="1" customWidth="1"/>
  </cols>
  <sheetData>
    <row r="4" spans="3:5" x14ac:dyDescent="0.2">
      <c r="C4" s="99" t="s">
        <v>475</v>
      </c>
      <c r="D4" s="100" t="s">
        <v>411</v>
      </c>
    </row>
    <row r="5" spans="3:5" x14ac:dyDescent="0.2">
      <c r="C5" s="99" t="s">
        <v>412</v>
      </c>
      <c r="D5" s="100" t="s">
        <v>476</v>
      </c>
      <c r="E5" s="100"/>
    </row>
    <row r="6" spans="3:5" x14ac:dyDescent="0.2">
      <c r="C6" s="99" t="s">
        <v>438</v>
      </c>
      <c r="D6" s="100" t="s">
        <v>486</v>
      </c>
      <c r="E6" s="100"/>
    </row>
    <row r="7" spans="3:5" x14ac:dyDescent="0.2">
      <c r="C7" s="99" t="s">
        <v>439</v>
      </c>
      <c r="D7" s="100" t="s">
        <v>486</v>
      </c>
      <c r="E7" s="100"/>
    </row>
    <row r="8" spans="3:5" x14ac:dyDescent="0.2">
      <c r="C8" s="99" t="s">
        <v>440</v>
      </c>
      <c r="D8" s="100" t="s">
        <v>487</v>
      </c>
      <c r="E8" s="100"/>
    </row>
    <row r="9" spans="3:5" x14ac:dyDescent="0.2">
      <c r="C9" s="99" t="s">
        <v>441</v>
      </c>
      <c r="D9" s="100" t="s">
        <v>488</v>
      </c>
      <c r="E9" s="100"/>
    </row>
    <row r="10" spans="3:5" x14ac:dyDescent="0.2">
      <c r="C10" s="99" t="s">
        <v>489</v>
      </c>
      <c r="D10" s="100" t="s">
        <v>488</v>
      </c>
      <c r="E10" s="100"/>
    </row>
    <row r="11" spans="3:5" x14ac:dyDescent="0.2">
      <c r="C11" s="99" t="s">
        <v>490</v>
      </c>
      <c r="D11" s="100" t="s">
        <v>491</v>
      </c>
      <c r="E11" s="100"/>
    </row>
    <row r="12" spans="3:5" x14ac:dyDescent="0.2">
      <c r="C12" s="99" t="s">
        <v>492</v>
      </c>
      <c r="D12" s="100" t="s">
        <v>493</v>
      </c>
      <c r="E12" s="100"/>
    </row>
    <row r="13" spans="3:5" x14ac:dyDescent="0.2">
      <c r="C13" s="99" t="s">
        <v>444</v>
      </c>
      <c r="D13" s="100" t="s">
        <v>493</v>
      </c>
      <c r="E13" s="100"/>
    </row>
    <row r="14" spans="3:5" x14ac:dyDescent="0.2">
      <c r="C14" s="99" t="s">
        <v>446</v>
      </c>
      <c r="D14" s="100" t="s">
        <v>494</v>
      </c>
      <c r="E14" s="100"/>
    </row>
    <row r="15" spans="3:5" x14ac:dyDescent="0.2">
      <c r="C15" s="99" t="s">
        <v>495</v>
      </c>
      <c r="D15" s="100" t="s">
        <v>496</v>
      </c>
      <c r="E15" s="100"/>
    </row>
    <row r="16" spans="3:5" x14ac:dyDescent="0.2">
      <c r="C16" s="99" t="s">
        <v>448</v>
      </c>
      <c r="D16" s="100" t="s">
        <v>497</v>
      </c>
      <c r="E16" s="100"/>
    </row>
    <row r="17" spans="3:5" x14ac:dyDescent="0.2">
      <c r="C17" s="99" t="s">
        <v>449</v>
      </c>
      <c r="D17" s="100" t="s">
        <v>498</v>
      </c>
      <c r="E17" s="100"/>
    </row>
    <row r="18" spans="3:5" x14ac:dyDescent="0.2">
      <c r="C18" s="99" t="s">
        <v>450</v>
      </c>
      <c r="D18" s="100" t="s">
        <v>499</v>
      </c>
      <c r="E18" s="100"/>
    </row>
    <row r="19" spans="3:5" x14ac:dyDescent="0.2">
      <c r="C19" s="99" t="s">
        <v>451</v>
      </c>
      <c r="D19" s="100" t="s">
        <v>479</v>
      </c>
      <c r="E19" s="100"/>
    </row>
    <row r="20" spans="3:5" x14ac:dyDescent="0.2">
      <c r="C20" s="99" t="s">
        <v>452</v>
      </c>
      <c r="D20" s="100" t="s">
        <v>500</v>
      </c>
      <c r="E20" s="100"/>
    </row>
    <row r="21" spans="3:5" x14ac:dyDescent="0.2">
      <c r="C21" s="99" t="s">
        <v>501</v>
      </c>
      <c r="D21" s="100" t="s">
        <v>502</v>
      </c>
      <c r="E21" s="100"/>
    </row>
    <row r="22" spans="3:5" x14ac:dyDescent="0.2">
      <c r="C22" s="99" t="s">
        <v>503</v>
      </c>
      <c r="D22" s="100" t="s">
        <v>504</v>
      </c>
      <c r="E22" s="100"/>
    </row>
    <row r="23" spans="3:5" x14ac:dyDescent="0.2">
      <c r="C23" s="99" t="s">
        <v>418</v>
      </c>
      <c r="D23" s="100" t="s">
        <v>505</v>
      </c>
      <c r="E23" s="100"/>
    </row>
    <row r="24" spans="3:5" x14ac:dyDescent="0.2">
      <c r="C24" s="99" t="s">
        <v>506</v>
      </c>
      <c r="D24" s="100" t="s">
        <v>480</v>
      </c>
      <c r="E24" s="100"/>
    </row>
    <row r="25" spans="3:5" x14ac:dyDescent="0.2">
      <c r="C25" s="99" t="s">
        <v>507</v>
      </c>
      <c r="D25" s="100" t="s">
        <v>471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0B5AC-6FA5-5646-8857-F24DD88D1001}">
  <sheetPr>
    <tabColor theme="4"/>
  </sheetPr>
  <dimension ref="H5:J37"/>
  <sheetViews>
    <sheetView topLeftCell="E10" zoomScale="90" zoomScaleNormal="90" workbookViewId="0">
      <selection activeCell="H38" sqref="H38"/>
    </sheetView>
  </sheetViews>
  <sheetFormatPr baseColWidth="10" defaultRowHeight="16" x14ac:dyDescent="0.2"/>
  <cols>
    <col min="8" max="8" width="83.6640625" bestFit="1" customWidth="1"/>
  </cols>
  <sheetData>
    <row r="5" spans="8:10" x14ac:dyDescent="0.2">
      <c r="H5" s="93" t="s">
        <v>410</v>
      </c>
      <c r="I5" s="94" t="s">
        <v>411</v>
      </c>
    </row>
    <row r="6" spans="8:10" x14ac:dyDescent="0.2">
      <c r="H6" s="93" t="s">
        <v>412</v>
      </c>
      <c r="I6" s="94" t="s">
        <v>476</v>
      </c>
      <c r="J6" s="94"/>
    </row>
    <row r="7" spans="8:10" x14ac:dyDescent="0.2">
      <c r="H7" s="93" t="s">
        <v>438</v>
      </c>
      <c r="I7" s="94" t="s">
        <v>511</v>
      </c>
      <c r="J7" s="94"/>
    </row>
    <row r="8" spans="8:10" x14ac:dyDescent="0.2">
      <c r="H8" s="93" t="s">
        <v>439</v>
      </c>
      <c r="I8" s="94" t="s">
        <v>511</v>
      </c>
      <c r="J8" s="94"/>
    </row>
    <row r="9" spans="8:10" x14ac:dyDescent="0.2">
      <c r="H9" s="93" t="s">
        <v>440</v>
      </c>
      <c r="I9" s="94" t="s">
        <v>512</v>
      </c>
      <c r="J9" s="94"/>
    </row>
    <row r="10" spans="8:10" x14ac:dyDescent="0.2">
      <c r="H10" s="93" t="s">
        <v>441</v>
      </c>
      <c r="I10" s="94" t="s">
        <v>513</v>
      </c>
      <c r="J10" s="94"/>
    </row>
    <row r="11" spans="8:10" x14ac:dyDescent="0.2">
      <c r="H11" s="93" t="s">
        <v>514</v>
      </c>
      <c r="I11" s="94" t="s">
        <v>515</v>
      </c>
      <c r="J11" s="94"/>
    </row>
    <row r="12" spans="8:10" x14ac:dyDescent="0.2">
      <c r="H12" s="93" t="s">
        <v>516</v>
      </c>
      <c r="I12" s="94" t="s">
        <v>517</v>
      </c>
      <c r="J12" s="94"/>
    </row>
    <row r="13" spans="8:10" x14ac:dyDescent="0.2">
      <c r="H13" s="93" t="s">
        <v>591</v>
      </c>
      <c r="I13" s="94" t="s">
        <v>738</v>
      </c>
      <c r="J13" s="94"/>
    </row>
    <row r="14" spans="8:10" x14ac:dyDescent="0.2">
      <c r="H14" s="93" t="s">
        <v>444</v>
      </c>
      <c r="I14" s="94" t="s">
        <v>739</v>
      </c>
      <c r="J14" s="94"/>
    </row>
    <row r="15" spans="8:10" x14ac:dyDescent="0.2">
      <c r="H15" s="93" t="s">
        <v>446</v>
      </c>
      <c r="I15" s="94" t="s">
        <v>740</v>
      </c>
      <c r="J15" s="94"/>
    </row>
    <row r="16" spans="8:10" x14ac:dyDescent="0.2">
      <c r="H16" s="93" t="s">
        <v>447</v>
      </c>
      <c r="I16" s="94" t="s">
        <v>741</v>
      </c>
      <c r="J16" s="94"/>
    </row>
    <row r="17" spans="8:10" x14ac:dyDescent="0.2">
      <c r="H17" s="93" t="s">
        <v>448</v>
      </c>
      <c r="I17" s="94" t="s">
        <v>727</v>
      </c>
      <c r="J17" s="94"/>
    </row>
    <row r="18" spans="8:10" x14ac:dyDescent="0.2">
      <c r="H18" s="93" t="s">
        <v>449</v>
      </c>
      <c r="I18" s="94" t="s">
        <v>742</v>
      </c>
      <c r="J18" s="94"/>
    </row>
    <row r="19" spans="8:10" x14ac:dyDescent="0.2">
      <c r="H19" s="93" t="s">
        <v>518</v>
      </c>
      <c r="I19" s="94" t="s">
        <v>743</v>
      </c>
      <c r="J19" s="94"/>
    </row>
    <row r="20" spans="8:10" x14ac:dyDescent="0.2">
      <c r="H20" s="93" t="s">
        <v>451</v>
      </c>
      <c r="I20" s="94" t="s">
        <v>744</v>
      </c>
      <c r="J20" s="94"/>
    </row>
    <row r="21" spans="8:10" x14ac:dyDescent="0.2">
      <c r="H21" s="93" t="s">
        <v>469</v>
      </c>
      <c r="I21" s="94" t="s">
        <v>745</v>
      </c>
      <c r="J21" s="94"/>
    </row>
    <row r="22" spans="8:10" x14ac:dyDescent="0.2">
      <c r="H22" s="93" t="s">
        <v>453</v>
      </c>
      <c r="I22" s="94" t="s">
        <v>746</v>
      </c>
      <c r="J22" s="94"/>
    </row>
    <row r="23" spans="8:10" x14ac:dyDescent="0.2">
      <c r="H23" s="93" t="s">
        <v>519</v>
      </c>
      <c r="I23" s="94" t="s">
        <v>747</v>
      </c>
      <c r="J23" s="94"/>
    </row>
    <row r="24" spans="8:10" x14ac:dyDescent="0.2">
      <c r="H24" s="93" t="s">
        <v>455</v>
      </c>
      <c r="I24" s="94" t="s">
        <v>748</v>
      </c>
      <c r="J24" s="94"/>
    </row>
    <row r="25" spans="8:10" x14ac:dyDescent="0.2">
      <c r="H25" s="93" t="s">
        <v>418</v>
      </c>
      <c r="I25" s="94" t="s">
        <v>749</v>
      </c>
      <c r="J25" s="94"/>
    </row>
    <row r="26" spans="8:10" x14ac:dyDescent="0.2">
      <c r="H26" s="93" t="s">
        <v>456</v>
      </c>
      <c r="I26" s="94" t="s">
        <v>750</v>
      </c>
      <c r="J26" s="94"/>
    </row>
    <row r="27" spans="8:10" x14ac:dyDescent="0.2">
      <c r="H27" s="93" t="s">
        <v>751</v>
      </c>
      <c r="I27" s="94" t="s">
        <v>750</v>
      </c>
    </row>
    <row r="37" spans="8:8" x14ac:dyDescent="0.2">
      <c r="H37" t="s">
        <v>428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42DB-EC57-4843-BB45-12BE6E402D16}">
  <dimension ref="B3:D25"/>
  <sheetViews>
    <sheetView workbookViewId="0">
      <selection activeCell="B3" sqref="B3:D25"/>
    </sheetView>
  </sheetViews>
  <sheetFormatPr baseColWidth="10" defaultRowHeight="16" x14ac:dyDescent="0.2"/>
  <cols>
    <col min="2" max="2" width="75.33203125" bestFit="1" customWidth="1"/>
  </cols>
  <sheetData>
    <row r="3" spans="2:4" x14ac:dyDescent="0.2">
      <c r="B3" s="93" t="s">
        <v>410</v>
      </c>
      <c r="C3" s="94" t="s">
        <v>411</v>
      </c>
    </row>
    <row r="4" spans="2:4" x14ac:dyDescent="0.2">
      <c r="B4" s="93" t="s">
        <v>412</v>
      </c>
      <c r="C4" s="94" t="s">
        <v>476</v>
      </c>
      <c r="D4" s="94"/>
    </row>
    <row r="5" spans="2:4" x14ac:dyDescent="0.2">
      <c r="B5" s="93" t="s">
        <v>437</v>
      </c>
      <c r="C5" s="94" t="s">
        <v>523</v>
      </c>
      <c r="D5" s="94"/>
    </row>
    <row r="6" spans="2:4" x14ac:dyDescent="0.2">
      <c r="B6" s="93" t="s">
        <v>438</v>
      </c>
      <c r="C6" s="94" t="s">
        <v>524</v>
      </c>
      <c r="D6" s="94"/>
    </row>
    <row r="7" spans="2:4" x14ac:dyDescent="0.2">
      <c r="B7" s="93" t="s">
        <v>439</v>
      </c>
      <c r="C7" s="94" t="s">
        <v>524</v>
      </c>
      <c r="D7" s="94"/>
    </row>
    <row r="8" spans="2:4" x14ac:dyDescent="0.2">
      <c r="B8" s="93" t="s">
        <v>462</v>
      </c>
      <c r="C8" s="94" t="s">
        <v>525</v>
      </c>
      <c r="D8" s="94"/>
    </row>
    <row r="9" spans="2:4" x14ac:dyDescent="0.2">
      <c r="B9" s="93" t="s">
        <v>441</v>
      </c>
      <c r="C9" s="94" t="s">
        <v>464</v>
      </c>
      <c r="D9" s="94"/>
    </row>
    <row r="10" spans="2:4" x14ac:dyDescent="0.2">
      <c r="B10" s="93" t="s">
        <v>442</v>
      </c>
      <c r="C10" s="94" t="s">
        <v>486</v>
      </c>
      <c r="D10" s="94"/>
    </row>
    <row r="11" spans="2:4" x14ac:dyDescent="0.2">
      <c r="B11" s="93" t="s">
        <v>444</v>
      </c>
      <c r="C11" s="94" t="s">
        <v>466</v>
      </c>
      <c r="D11" s="94"/>
    </row>
    <row r="12" spans="2:4" x14ac:dyDescent="0.2">
      <c r="B12" s="93" t="s">
        <v>462</v>
      </c>
      <c r="C12" s="94" t="s">
        <v>755</v>
      </c>
      <c r="D12" s="94"/>
    </row>
    <row r="13" spans="2:4" x14ac:dyDescent="0.2">
      <c r="B13" s="93" t="s">
        <v>445</v>
      </c>
      <c r="C13" s="94" t="s">
        <v>526</v>
      </c>
      <c r="D13" s="94"/>
    </row>
    <row r="14" spans="2:4" x14ac:dyDescent="0.2">
      <c r="B14" s="93" t="s">
        <v>446</v>
      </c>
      <c r="C14" s="94" t="s">
        <v>527</v>
      </c>
      <c r="D14" s="94"/>
    </row>
    <row r="15" spans="2:4" x14ac:dyDescent="0.2">
      <c r="B15" s="93" t="s">
        <v>612</v>
      </c>
      <c r="C15" s="94" t="s">
        <v>528</v>
      </c>
      <c r="D15" s="94"/>
    </row>
    <row r="16" spans="2:4" x14ac:dyDescent="0.2">
      <c r="B16" s="93" t="s">
        <v>448</v>
      </c>
      <c r="C16" s="94" t="s">
        <v>517</v>
      </c>
      <c r="D16" s="94"/>
    </row>
    <row r="17" spans="2:4" x14ac:dyDescent="0.2">
      <c r="B17" s="93" t="s">
        <v>449</v>
      </c>
      <c r="C17" s="94" t="s">
        <v>756</v>
      </c>
      <c r="D17" s="94"/>
    </row>
    <row r="18" spans="2:4" x14ac:dyDescent="0.2">
      <c r="B18" s="93" t="s">
        <v>468</v>
      </c>
      <c r="C18" s="94" t="s">
        <v>757</v>
      </c>
      <c r="D18" s="94"/>
    </row>
    <row r="19" spans="2:4" x14ac:dyDescent="0.2">
      <c r="B19" s="93" t="s">
        <v>451</v>
      </c>
      <c r="C19" s="94" t="s">
        <v>758</v>
      </c>
      <c r="D19" s="94"/>
    </row>
    <row r="20" spans="2:4" x14ac:dyDescent="0.2">
      <c r="B20" s="93" t="s">
        <v>469</v>
      </c>
      <c r="C20" s="94" t="s">
        <v>759</v>
      </c>
      <c r="D20" s="94"/>
    </row>
    <row r="21" spans="2:4" x14ac:dyDescent="0.2">
      <c r="B21" s="93" t="s">
        <v>453</v>
      </c>
      <c r="C21" s="94" t="s">
        <v>760</v>
      </c>
      <c r="D21" s="94"/>
    </row>
    <row r="22" spans="2:4" x14ac:dyDescent="0.2">
      <c r="B22" s="93" t="s">
        <v>470</v>
      </c>
      <c r="C22" s="94" t="s">
        <v>761</v>
      </c>
      <c r="D22" s="94"/>
    </row>
    <row r="23" spans="2:4" x14ac:dyDescent="0.2">
      <c r="B23" s="93" t="s">
        <v>455</v>
      </c>
      <c r="C23" s="94" t="s">
        <v>762</v>
      </c>
      <c r="D23" s="94"/>
    </row>
    <row r="24" spans="2:4" x14ac:dyDescent="0.2">
      <c r="B24" s="93" t="s">
        <v>418</v>
      </c>
      <c r="C24" s="94" t="s">
        <v>748</v>
      </c>
      <c r="D24" s="94"/>
    </row>
    <row r="25" spans="2:4" x14ac:dyDescent="0.2">
      <c r="B25" s="93" t="s">
        <v>456</v>
      </c>
      <c r="C25" s="94" t="s">
        <v>733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3BC4D-3732-564C-BA60-474CA6B862B8}">
  <sheetPr>
    <tabColor theme="4"/>
  </sheetPr>
  <dimension ref="B2:I24"/>
  <sheetViews>
    <sheetView workbookViewId="0">
      <selection activeCell="B24" sqref="B24:F24"/>
    </sheetView>
  </sheetViews>
  <sheetFormatPr baseColWidth="10" defaultRowHeight="16" x14ac:dyDescent="0.2"/>
  <cols>
    <col min="2" max="2" width="75.33203125" bestFit="1" customWidth="1"/>
  </cols>
  <sheetData>
    <row r="2" spans="2:4" x14ac:dyDescent="0.2">
      <c r="B2" s="93" t="s">
        <v>410</v>
      </c>
      <c r="C2" s="94" t="s">
        <v>411</v>
      </c>
    </row>
    <row r="3" spans="2:4" x14ac:dyDescent="0.2">
      <c r="B3" s="93" t="s">
        <v>412</v>
      </c>
      <c r="C3" s="94" t="s">
        <v>476</v>
      </c>
      <c r="D3" s="94"/>
    </row>
    <row r="4" spans="2:4" x14ac:dyDescent="0.2">
      <c r="B4" s="93" t="s">
        <v>437</v>
      </c>
      <c r="C4" s="94" t="s">
        <v>533</v>
      </c>
      <c r="D4" s="94"/>
    </row>
    <row r="5" spans="2:4" x14ac:dyDescent="0.2">
      <c r="B5" s="93" t="s">
        <v>438</v>
      </c>
      <c r="C5" s="94" t="s">
        <v>534</v>
      </c>
      <c r="D5" s="94"/>
    </row>
    <row r="6" spans="2:4" x14ac:dyDescent="0.2">
      <c r="B6" s="93" t="s">
        <v>439</v>
      </c>
      <c r="C6" s="94" t="s">
        <v>534</v>
      </c>
      <c r="D6" s="94"/>
    </row>
    <row r="7" spans="2:4" x14ac:dyDescent="0.2">
      <c r="B7" s="93" t="s">
        <v>462</v>
      </c>
      <c r="C7" s="94" t="s">
        <v>535</v>
      </c>
      <c r="D7" s="94"/>
    </row>
    <row r="8" spans="2:4" x14ac:dyDescent="0.2">
      <c r="B8" s="93" t="s">
        <v>441</v>
      </c>
      <c r="C8" s="94" t="s">
        <v>464</v>
      </c>
      <c r="D8" s="94"/>
    </row>
    <row r="9" spans="2:4" x14ac:dyDescent="0.2">
      <c r="B9" s="93" t="s">
        <v>442</v>
      </c>
      <c r="C9" s="94" t="s">
        <v>536</v>
      </c>
      <c r="D9" s="94"/>
    </row>
    <row r="10" spans="2:4" x14ac:dyDescent="0.2">
      <c r="B10" s="93" t="s">
        <v>444</v>
      </c>
      <c r="C10" s="94" t="s">
        <v>766</v>
      </c>
      <c r="D10" s="94"/>
    </row>
    <row r="11" spans="2:4" x14ac:dyDescent="0.2">
      <c r="B11" s="93" t="s">
        <v>462</v>
      </c>
      <c r="C11" s="94" t="s">
        <v>767</v>
      </c>
      <c r="D11" s="94"/>
    </row>
    <row r="12" spans="2:4" x14ac:dyDescent="0.2">
      <c r="B12" s="93" t="s">
        <v>445</v>
      </c>
      <c r="C12" s="94" t="s">
        <v>768</v>
      </c>
      <c r="D12" s="94"/>
    </row>
    <row r="13" spans="2:4" x14ac:dyDescent="0.2">
      <c r="B13" s="93" t="s">
        <v>446</v>
      </c>
      <c r="C13" s="94" t="s">
        <v>769</v>
      </c>
      <c r="D13" s="94"/>
    </row>
    <row r="14" spans="2:4" x14ac:dyDescent="0.2">
      <c r="B14" s="93" t="s">
        <v>612</v>
      </c>
      <c r="C14" s="94" t="s">
        <v>770</v>
      </c>
      <c r="D14" s="94"/>
    </row>
    <row r="15" spans="2:4" x14ac:dyDescent="0.2">
      <c r="B15" s="93" t="s">
        <v>448</v>
      </c>
      <c r="C15" s="94" t="s">
        <v>723</v>
      </c>
      <c r="D15" s="94"/>
    </row>
    <row r="16" spans="2:4" x14ac:dyDescent="0.2">
      <c r="B16" s="93" t="s">
        <v>449</v>
      </c>
      <c r="C16" s="94" t="s">
        <v>771</v>
      </c>
      <c r="D16" s="94"/>
    </row>
    <row r="17" spans="2:9" x14ac:dyDescent="0.2">
      <c r="B17" s="93" t="s">
        <v>468</v>
      </c>
      <c r="C17" s="94" t="s">
        <v>772</v>
      </c>
      <c r="D17" s="94"/>
    </row>
    <row r="18" spans="2:9" x14ac:dyDescent="0.2">
      <c r="B18" s="93" t="s">
        <v>451</v>
      </c>
      <c r="C18" s="94" t="s">
        <v>773</v>
      </c>
      <c r="D18" s="94"/>
    </row>
    <row r="19" spans="2:9" x14ac:dyDescent="0.2">
      <c r="B19" s="93" t="s">
        <v>469</v>
      </c>
      <c r="C19" s="94" t="s">
        <v>774</v>
      </c>
      <c r="D19" s="94"/>
    </row>
    <row r="20" spans="2:9" x14ac:dyDescent="0.2">
      <c r="B20" s="93" t="s">
        <v>453</v>
      </c>
      <c r="C20" s="94" t="s">
        <v>775</v>
      </c>
      <c r="D20" s="94"/>
    </row>
    <row r="21" spans="2:9" x14ac:dyDescent="0.2">
      <c r="B21" s="93" t="s">
        <v>470</v>
      </c>
      <c r="C21" s="94" t="s">
        <v>776</v>
      </c>
      <c r="D21" s="94"/>
    </row>
    <row r="22" spans="2:9" x14ac:dyDescent="0.2">
      <c r="B22" s="93" t="s">
        <v>455</v>
      </c>
      <c r="C22" s="94" t="s">
        <v>777</v>
      </c>
      <c r="D22" s="94"/>
    </row>
    <row r="23" spans="2:9" x14ac:dyDescent="0.2">
      <c r="B23" s="93" t="s">
        <v>418</v>
      </c>
      <c r="C23" s="94" t="s">
        <v>778</v>
      </c>
      <c r="D23" s="94"/>
      <c r="E23" s="103"/>
      <c r="F23" s="103"/>
      <c r="G23" s="103"/>
      <c r="H23" s="103"/>
      <c r="I23" s="103"/>
    </row>
    <row r="24" spans="2:9" x14ac:dyDescent="0.2">
      <c r="B24" s="93" t="s">
        <v>456</v>
      </c>
      <c r="C24" s="94" t="s">
        <v>779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631DD-7B51-BE47-9451-7C45D18BC9BB}">
  <sheetPr>
    <tabColor theme="5"/>
  </sheetPr>
  <dimension ref="B1:D48"/>
  <sheetViews>
    <sheetView topLeftCell="A25" workbookViewId="0">
      <selection activeCell="B33" sqref="B33"/>
    </sheetView>
  </sheetViews>
  <sheetFormatPr baseColWidth="10" defaultRowHeight="16" x14ac:dyDescent="0.2"/>
  <cols>
    <col min="2" max="2" width="94.5" bestFit="1" customWidth="1"/>
    <col min="3" max="3" width="77.6640625" bestFit="1" customWidth="1"/>
  </cols>
  <sheetData>
    <row r="1" spans="2:4" x14ac:dyDescent="0.2">
      <c r="B1" s="93" t="s">
        <v>410</v>
      </c>
      <c r="C1" s="94" t="s">
        <v>411</v>
      </c>
    </row>
    <row r="2" spans="2:4" x14ac:dyDescent="0.2">
      <c r="B2" s="93" t="s">
        <v>412</v>
      </c>
      <c r="C2" s="94" t="s">
        <v>476</v>
      </c>
      <c r="D2" s="94"/>
    </row>
    <row r="3" spans="2:4" x14ac:dyDescent="0.2">
      <c r="B3" s="93" t="s">
        <v>438</v>
      </c>
      <c r="C3" s="94" t="s">
        <v>781</v>
      </c>
      <c r="D3" s="94"/>
    </row>
    <row r="4" spans="2:4" x14ac:dyDescent="0.2">
      <c r="B4" s="93" t="s">
        <v>439</v>
      </c>
      <c r="C4" s="94" t="s">
        <v>781</v>
      </c>
      <c r="D4" s="94"/>
    </row>
    <row r="5" spans="2:4" x14ac:dyDescent="0.2">
      <c r="B5" s="93" t="s">
        <v>440</v>
      </c>
      <c r="C5" s="94" t="s">
        <v>782</v>
      </c>
      <c r="D5" s="94"/>
    </row>
    <row r="6" spans="2:4" x14ac:dyDescent="0.2">
      <c r="B6" s="93" t="s">
        <v>441</v>
      </c>
      <c r="C6" s="94" t="s">
        <v>783</v>
      </c>
      <c r="D6" s="94"/>
    </row>
    <row r="7" spans="2:4" x14ac:dyDescent="0.2">
      <c r="B7" s="93" t="s">
        <v>447</v>
      </c>
      <c r="C7" s="94" t="s">
        <v>784</v>
      </c>
      <c r="D7" s="94"/>
    </row>
    <row r="8" spans="2:4" x14ac:dyDescent="0.2">
      <c r="B8" s="93" t="s">
        <v>546</v>
      </c>
      <c r="C8" s="94" t="s">
        <v>785</v>
      </c>
      <c r="D8" s="94"/>
    </row>
    <row r="9" spans="2:4" x14ac:dyDescent="0.2">
      <c r="B9" s="93" t="s">
        <v>786</v>
      </c>
      <c r="C9" s="94" t="s">
        <v>787</v>
      </c>
      <c r="D9" s="94"/>
    </row>
    <row r="10" spans="2:4" x14ac:dyDescent="0.2">
      <c r="B10" s="93" t="s">
        <v>444</v>
      </c>
      <c r="C10" s="94" t="s">
        <v>785</v>
      </c>
      <c r="D10" s="94"/>
    </row>
    <row r="11" spans="2:4" x14ac:dyDescent="0.2">
      <c r="B11" s="93" t="s">
        <v>788</v>
      </c>
      <c r="C11" s="94" t="s">
        <v>789</v>
      </c>
      <c r="D11" s="94"/>
    </row>
    <row r="12" spans="2:4" x14ac:dyDescent="0.2">
      <c r="B12" s="93" t="s">
        <v>547</v>
      </c>
      <c r="C12" s="94" t="s">
        <v>790</v>
      </c>
      <c r="D12" s="94"/>
    </row>
    <row r="13" spans="2:4" x14ac:dyDescent="0.2">
      <c r="B13" s="93" t="s">
        <v>548</v>
      </c>
      <c r="C13" s="94" t="s">
        <v>791</v>
      </c>
      <c r="D13" s="94"/>
    </row>
    <row r="14" spans="2:4" x14ac:dyDescent="0.2">
      <c r="B14" s="93" t="s">
        <v>446</v>
      </c>
      <c r="C14" s="94" t="s">
        <v>792</v>
      </c>
      <c r="D14" s="94"/>
    </row>
    <row r="15" spans="2:4" x14ac:dyDescent="0.2">
      <c r="B15" s="93" t="s">
        <v>447</v>
      </c>
      <c r="C15" s="94" t="s">
        <v>793</v>
      </c>
      <c r="D15" s="94"/>
    </row>
    <row r="16" spans="2:4" x14ac:dyDescent="0.2">
      <c r="B16" s="93" t="s">
        <v>448</v>
      </c>
      <c r="C16" s="94" t="s">
        <v>794</v>
      </c>
      <c r="D16" s="94"/>
    </row>
    <row r="17" spans="2:4" x14ac:dyDescent="0.2">
      <c r="B17" s="93" t="s">
        <v>449</v>
      </c>
      <c r="C17" s="94" t="s">
        <v>795</v>
      </c>
      <c r="D17" s="94"/>
    </row>
    <row r="18" spans="2:4" x14ac:dyDescent="0.2">
      <c r="B18" s="93" t="s">
        <v>450</v>
      </c>
      <c r="C18" s="94" t="s">
        <v>796</v>
      </c>
      <c r="D18" s="94"/>
    </row>
    <row r="19" spans="2:4" x14ac:dyDescent="0.2">
      <c r="B19" s="93" t="s">
        <v>451</v>
      </c>
      <c r="C19" s="94" t="s">
        <v>797</v>
      </c>
      <c r="D19" s="94"/>
    </row>
    <row r="20" spans="2:4" x14ac:dyDescent="0.2">
      <c r="B20" s="202" t="s">
        <v>452</v>
      </c>
      <c r="C20" s="203" t="s">
        <v>736</v>
      </c>
      <c r="D20" s="203"/>
    </row>
    <row r="21" spans="2:4" x14ac:dyDescent="0.2">
      <c r="B21" s="93" t="s">
        <v>453</v>
      </c>
      <c r="C21" s="94" t="s">
        <v>798</v>
      </c>
      <c r="D21" s="94"/>
    </row>
    <row r="22" spans="2:4" x14ac:dyDescent="0.2">
      <c r="B22" s="93" t="s">
        <v>455</v>
      </c>
      <c r="C22" s="94" t="s">
        <v>799</v>
      </c>
      <c r="D22" s="94"/>
    </row>
    <row r="23" spans="2:4" x14ac:dyDescent="0.2">
      <c r="B23" s="93" t="s">
        <v>418</v>
      </c>
      <c r="C23" s="94" t="s">
        <v>800</v>
      </c>
      <c r="D23" s="94"/>
    </row>
    <row r="24" spans="2:4" x14ac:dyDescent="0.2">
      <c r="B24" s="93" t="s">
        <v>456</v>
      </c>
      <c r="C24" s="94" t="s">
        <v>801</v>
      </c>
      <c r="D24" s="94"/>
    </row>
    <row r="25" spans="2:4" x14ac:dyDescent="0.2">
      <c r="B25" s="93" t="s">
        <v>507</v>
      </c>
      <c r="C25" s="94" t="s">
        <v>802</v>
      </c>
    </row>
    <row r="26" spans="2:4" x14ac:dyDescent="0.2">
      <c r="B26" s="93"/>
      <c r="C26" s="94"/>
    </row>
    <row r="33" spans="2:3" x14ac:dyDescent="0.2">
      <c r="B33" s="206" t="s">
        <v>952</v>
      </c>
    </row>
    <row r="34" spans="2:3" ht="17" thickBot="1" x14ac:dyDescent="0.25">
      <c r="C34" s="203" t="s">
        <v>953</v>
      </c>
    </row>
    <row r="35" spans="2:3" ht="17" thickBot="1" x14ac:dyDescent="0.25">
      <c r="B35" s="161" t="s">
        <v>6</v>
      </c>
      <c r="C35" s="163"/>
    </row>
    <row r="36" spans="2:3" ht="17" thickBot="1" x14ac:dyDescent="0.25">
      <c r="B36" s="161" t="s">
        <v>7</v>
      </c>
      <c r="C36" s="164"/>
    </row>
    <row r="37" spans="2:3" ht="17" thickBot="1" x14ac:dyDescent="0.25">
      <c r="B37" s="161" t="s">
        <v>8</v>
      </c>
      <c r="C37" s="164"/>
    </row>
    <row r="38" spans="2:3" ht="17" thickBot="1" x14ac:dyDescent="0.25">
      <c r="B38" s="161" t="s">
        <v>10</v>
      </c>
      <c r="C38" s="164"/>
    </row>
    <row r="39" spans="2:3" ht="17" thickBot="1" x14ac:dyDescent="0.25">
      <c r="B39" s="161" t="s">
        <v>14</v>
      </c>
      <c r="C39" s="164"/>
    </row>
    <row r="40" spans="2:3" ht="103" thickBot="1" x14ac:dyDescent="0.25">
      <c r="B40" s="161" t="s">
        <v>11</v>
      </c>
      <c r="C40" s="204" t="s">
        <v>947</v>
      </c>
    </row>
    <row r="41" spans="2:3" ht="17" thickBot="1" x14ac:dyDescent="0.25">
      <c r="B41" s="161" t="s">
        <v>12</v>
      </c>
      <c r="C41" s="164"/>
    </row>
    <row r="42" spans="2:3" ht="17" thickBot="1" x14ac:dyDescent="0.25">
      <c r="B42" s="161" t="s">
        <v>13</v>
      </c>
      <c r="C42" s="164"/>
    </row>
    <row r="43" spans="2:3" ht="17" thickBot="1" x14ac:dyDescent="0.25">
      <c r="B43" s="161" t="s">
        <v>17</v>
      </c>
      <c r="C43" s="164"/>
    </row>
    <row r="44" spans="2:3" ht="17" thickBot="1" x14ac:dyDescent="0.25">
      <c r="B44" s="161" t="s">
        <v>15</v>
      </c>
      <c r="C44" s="164"/>
    </row>
    <row r="45" spans="2:3" ht="17" thickBot="1" x14ac:dyDescent="0.25">
      <c r="B45" s="161" t="s">
        <v>16</v>
      </c>
      <c r="C45" s="164"/>
    </row>
    <row r="46" spans="2:3" ht="17" thickBot="1" x14ac:dyDescent="0.25">
      <c r="B46" s="161" t="s">
        <v>18</v>
      </c>
      <c r="C46" s="164" t="s">
        <v>649</v>
      </c>
    </row>
    <row r="47" spans="2:3" x14ac:dyDescent="0.2">
      <c r="B47" s="161" t="s">
        <v>19</v>
      </c>
      <c r="C47" s="164"/>
    </row>
    <row r="48" spans="2:3" ht="17" thickBot="1" x14ac:dyDescent="0.25">
      <c r="B48" s="162" t="s">
        <v>647</v>
      </c>
      <c r="C48" s="165" t="s">
        <v>648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7D760-625A-5A4C-BA1E-50DFA29759D3}">
  <sheetPr>
    <tabColor theme="4"/>
  </sheetPr>
  <dimension ref="B3:H25"/>
  <sheetViews>
    <sheetView workbookViewId="0">
      <selection activeCell="A21" sqref="A21:XFD21"/>
    </sheetView>
  </sheetViews>
  <sheetFormatPr baseColWidth="10" defaultRowHeight="16" x14ac:dyDescent="0.2"/>
  <cols>
    <col min="2" max="2" width="83.1640625" bestFit="1" customWidth="1"/>
  </cols>
  <sheetData>
    <row r="3" spans="2:4" x14ac:dyDescent="0.2">
      <c r="B3" s="93" t="s">
        <v>410</v>
      </c>
      <c r="C3" s="94" t="s">
        <v>411</v>
      </c>
    </row>
    <row r="4" spans="2:4" x14ac:dyDescent="0.2">
      <c r="B4" s="93" t="s">
        <v>412</v>
      </c>
      <c r="C4" s="94" t="s">
        <v>476</v>
      </c>
      <c r="D4" s="94"/>
    </row>
    <row r="5" spans="2:4" x14ac:dyDescent="0.2">
      <c r="B5" s="93" t="s">
        <v>438</v>
      </c>
      <c r="C5" s="94" t="s">
        <v>805</v>
      </c>
      <c r="D5" s="94"/>
    </row>
    <row r="6" spans="2:4" x14ac:dyDescent="0.2">
      <c r="B6" s="93" t="s">
        <v>439</v>
      </c>
      <c r="C6" s="94" t="s">
        <v>805</v>
      </c>
      <c r="D6" s="94"/>
    </row>
    <row r="7" spans="2:4" x14ac:dyDescent="0.2">
      <c r="B7" s="93" t="s">
        <v>806</v>
      </c>
      <c r="C7" s="94" t="s">
        <v>807</v>
      </c>
      <c r="D7" s="94"/>
    </row>
    <row r="8" spans="2:4" x14ac:dyDescent="0.2">
      <c r="B8" s="93" t="s">
        <v>441</v>
      </c>
      <c r="C8" s="94" t="s">
        <v>726</v>
      </c>
      <c r="D8" s="94"/>
    </row>
    <row r="9" spans="2:4" x14ac:dyDescent="0.2">
      <c r="B9" s="93" t="s">
        <v>808</v>
      </c>
      <c r="C9" s="94" t="s">
        <v>726</v>
      </c>
      <c r="D9" s="94"/>
    </row>
    <row r="10" spans="2:4" x14ac:dyDescent="0.2">
      <c r="B10" s="93" t="s">
        <v>809</v>
      </c>
      <c r="C10" s="94" t="s">
        <v>810</v>
      </c>
      <c r="D10" s="94"/>
    </row>
    <row r="11" spans="2:4" x14ac:dyDescent="0.2">
      <c r="B11" s="93" t="s">
        <v>492</v>
      </c>
      <c r="C11" s="94" t="s">
        <v>811</v>
      </c>
      <c r="D11" s="94"/>
    </row>
    <row r="12" spans="2:4" x14ac:dyDescent="0.2">
      <c r="B12" s="93" t="s">
        <v>812</v>
      </c>
      <c r="C12" s="94" t="s">
        <v>813</v>
      </c>
      <c r="D12" s="94"/>
    </row>
    <row r="13" spans="2:4" x14ac:dyDescent="0.2">
      <c r="B13" s="93" t="s">
        <v>444</v>
      </c>
      <c r="C13" s="94" t="s">
        <v>811</v>
      </c>
      <c r="D13" s="94"/>
    </row>
    <row r="14" spans="2:4" x14ac:dyDescent="0.2">
      <c r="B14" s="93" t="s">
        <v>446</v>
      </c>
      <c r="C14" s="94" t="s">
        <v>783</v>
      </c>
      <c r="D14" s="94"/>
    </row>
    <row r="15" spans="2:4" x14ac:dyDescent="0.2">
      <c r="B15" s="93" t="s">
        <v>447</v>
      </c>
      <c r="C15" s="94" t="s">
        <v>814</v>
      </c>
      <c r="D15" s="94"/>
    </row>
    <row r="16" spans="2:4" x14ac:dyDescent="0.2">
      <c r="B16" s="93" t="s">
        <v>448</v>
      </c>
      <c r="C16" s="94" t="s">
        <v>814</v>
      </c>
      <c r="D16" s="94"/>
    </row>
    <row r="17" spans="2:8" x14ac:dyDescent="0.2">
      <c r="B17" s="93" t="s">
        <v>449</v>
      </c>
      <c r="C17" s="94" t="s">
        <v>815</v>
      </c>
      <c r="D17" s="94"/>
    </row>
    <row r="18" spans="2:8" x14ac:dyDescent="0.2">
      <c r="B18" s="93" t="s">
        <v>450</v>
      </c>
      <c r="C18" s="94" t="s">
        <v>816</v>
      </c>
      <c r="D18" s="94"/>
    </row>
    <row r="19" spans="2:8" x14ac:dyDescent="0.2">
      <c r="B19" s="93" t="s">
        <v>451</v>
      </c>
      <c r="C19" s="94" t="s">
        <v>817</v>
      </c>
      <c r="D19" s="94"/>
    </row>
    <row r="20" spans="2:8" x14ac:dyDescent="0.2">
      <c r="B20" s="93" t="s">
        <v>452</v>
      </c>
      <c r="C20" s="94" t="s">
        <v>818</v>
      </c>
      <c r="D20" s="94"/>
    </row>
    <row r="21" spans="2:8" x14ac:dyDescent="0.2">
      <c r="B21" s="93" t="s">
        <v>501</v>
      </c>
      <c r="C21" s="94" t="s">
        <v>819</v>
      </c>
      <c r="D21" s="94"/>
      <c r="E21" s="103"/>
      <c r="F21" s="103"/>
      <c r="G21" s="103"/>
      <c r="H21" s="103"/>
    </row>
    <row r="22" spans="2:8" x14ac:dyDescent="0.2">
      <c r="B22" s="93" t="s">
        <v>820</v>
      </c>
      <c r="C22" s="94" t="s">
        <v>821</v>
      </c>
      <c r="D22" s="94"/>
    </row>
    <row r="23" spans="2:8" x14ac:dyDescent="0.2">
      <c r="B23" s="93" t="s">
        <v>418</v>
      </c>
      <c r="C23" s="94" t="s">
        <v>822</v>
      </c>
      <c r="D23" s="94"/>
    </row>
    <row r="24" spans="2:8" x14ac:dyDescent="0.2">
      <c r="B24" s="93" t="s">
        <v>456</v>
      </c>
      <c r="C24" s="94" t="s">
        <v>823</v>
      </c>
      <c r="D24" s="94"/>
    </row>
    <row r="25" spans="2:8" x14ac:dyDescent="0.2">
      <c r="B25" s="93" t="s">
        <v>751</v>
      </c>
      <c r="C25" s="94" t="s">
        <v>824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63012-2201-0F4D-8954-04915041A0C2}">
  <sheetPr>
    <tabColor theme="4"/>
  </sheetPr>
  <dimension ref="B3:D25"/>
  <sheetViews>
    <sheetView topLeftCell="A2" workbookViewId="0">
      <selection activeCell="B3" sqref="B3:D25"/>
    </sheetView>
  </sheetViews>
  <sheetFormatPr baseColWidth="10" defaultRowHeight="16" x14ac:dyDescent="0.2"/>
  <cols>
    <col min="2" max="2" width="94.5" bestFit="1" customWidth="1"/>
  </cols>
  <sheetData>
    <row r="3" spans="2:4" x14ac:dyDescent="0.2">
      <c r="B3" s="93" t="s">
        <v>410</v>
      </c>
      <c r="C3" s="94" t="s">
        <v>411</v>
      </c>
    </row>
    <row r="4" spans="2:4" x14ac:dyDescent="0.2">
      <c r="B4" s="93" t="s">
        <v>412</v>
      </c>
      <c r="C4" s="94" t="s">
        <v>476</v>
      </c>
      <c r="D4" s="94"/>
    </row>
    <row r="5" spans="2:4" x14ac:dyDescent="0.2">
      <c r="B5" s="93" t="s">
        <v>438</v>
      </c>
      <c r="C5" s="94" t="s">
        <v>554</v>
      </c>
      <c r="D5" s="94"/>
    </row>
    <row r="6" spans="2:4" x14ac:dyDescent="0.2">
      <c r="B6" s="93" t="s">
        <v>439</v>
      </c>
      <c r="C6" s="94" t="s">
        <v>554</v>
      </c>
      <c r="D6" s="94"/>
    </row>
    <row r="7" spans="2:4" x14ac:dyDescent="0.2">
      <c r="B7" s="93" t="s">
        <v>440</v>
      </c>
      <c r="C7" s="94" t="s">
        <v>555</v>
      </c>
      <c r="D7" s="94"/>
    </row>
    <row r="8" spans="2:4" x14ac:dyDescent="0.2">
      <c r="B8" s="93" t="s">
        <v>441</v>
      </c>
      <c r="C8" s="94" t="s">
        <v>556</v>
      </c>
      <c r="D8" s="94"/>
    </row>
    <row r="9" spans="2:4" x14ac:dyDescent="0.2">
      <c r="B9" s="93" t="s">
        <v>447</v>
      </c>
      <c r="C9" s="94" t="s">
        <v>557</v>
      </c>
      <c r="D9" s="94"/>
    </row>
    <row r="10" spans="2:4" x14ac:dyDescent="0.2">
      <c r="B10" s="93" t="s">
        <v>546</v>
      </c>
      <c r="C10" s="94" t="s">
        <v>826</v>
      </c>
      <c r="D10" s="94"/>
    </row>
    <row r="11" spans="2:4" x14ac:dyDescent="0.2">
      <c r="B11" s="93" t="s">
        <v>786</v>
      </c>
      <c r="C11" s="94" t="s">
        <v>827</v>
      </c>
      <c r="D11" s="94"/>
    </row>
    <row r="12" spans="2:4" x14ac:dyDescent="0.2">
      <c r="B12" s="93" t="s">
        <v>444</v>
      </c>
      <c r="C12" s="94" t="s">
        <v>826</v>
      </c>
      <c r="D12" s="94"/>
    </row>
    <row r="13" spans="2:4" x14ac:dyDescent="0.2">
      <c r="B13" s="93" t="s">
        <v>788</v>
      </c>
      <c r="C13" s="94" t="s">
        <v>828</v>
      </c>
      <c r="D13" s="94"/>
    </row>
    <row r="14" spans="2:4" x14ac:dyDescent="0.2">
      <c r="B14" s="93" t="s">
        <v>446</v>
      </c>
      <c r="C14" s="94" t="s">
        <v>829</v>
      </c>
      <c r="D14" s="94"/>
    </row>
    <row r="15" spans="2:4" x14ac:dyDescent="0.2">
      <c r="B15" s="93" t="s">
        <v>447</v>
      </c>
      <c r="C15" s="94" t="s">
        <v>558</v>
      </c>
      <c r="D15" s="94"/>
    </row>
    <row r="16" spans="2:4" x14ac:dyDescent="0.2">
      <c r="B16" s="93" t="s">
        <v>448</v>
      </c>
      <c r="C16" s="94" t="s">
        <v>830</v>
      </c>
      <c r="D16" s="94"/>
    </row>
    <row r="17" spans="2:4" x14ac:dyDescent="0.2">
      <c r="B17" s="93" t="s">
        <v>449</v>
      </c>
      <c r="C17" s="94" t="s">
        <v>831</v>
      </c>
      <c r="D17" s="94"/>
    </row>
    <row r="18" spans="2:4" x14ac:dyDescent="0.2">
      <c r="B18" s="93" t="s">
        <v>450</v>
      </c>
      <c r="C18" s="94" t="s">
        <v>832</v>
      </c>
      <c r="D18" s="94"/>
    </row>
    <row r="19" spans="2:4" x14ac:dyDescent="0.2">
      <c r="B19" s="93" t="s">
        <v>451</v>
      </c>
      <c r="C19" s="94" t="s">
        <v>833</v>
      </c>
      <c r="D19" s="94"/>
    </row>
    <row r="20" spans="2:4" x14ac:dyDescent="0.2">
      <c r="B20" s="93" t="s">
        <v>452</v>
      </c>
      <c r="C20" s="94" t="s">
        <v>834</v>
      </c>
      <c r="D20" s="94"/>
    </row>
    <row r="21" spans="2:4" x14ac:dyDescent="0.2">
      <c r="B21" s="93" t="s">
        <v>453</v>
      </c>
      <c r="C21" s="94" t="s">
        <v>835</v>
      </c>
      <c r="D21" s="94"/>
    </row>
    <row r="22" spans="2:4" x14ac:dyDescent="0.2">
      <c r="B22" s="93" t="s">
        <v>455</v>
      </c>
      <c r="C22" s="94" t="s">
        <v>836</v>
      </c>
      <c r="D22" s="94"/>
    </row>
    <row r="23" spans="2:4" x14ac:dyDescent="0.2">
      <c r="B23" s="93" t="s">
        <v>418</v>
      </c>
      <c r="C23" s="94" t="s">
        <v>837</v>
      </c>
      <c r="D23" s="94"/>
    </row>
    <row r="24" spans="2:4" x14ac:dyDescent="0.2">
      <c r="B24" s="93" t="s">
        <v>456</v>
      </c>
      <c r="C24" s="94" t="s">
        <v>838</v>
      </c>
      <c r="D24" s="94"/>
    </row>
    <row r="25" spans="2:4" x14ac:dyDescent="0.2">
      <c r="B25" s="93" t="s">
        <v>507</v>
      </c>
      <c r="C25" s="94" t="s">
        <v>838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1E74A-C25D-834A-83CE-A12DDBC0F609}">
  <sheetPr>
    <tabColor theme="4"/>
  </sheetPr>
  <dimension ref="B2:E24"/>
  <sheetViews>
    <sheetView workbookViewId="0">
      <selection activeCell="B2" sqref="B2:D24"/>
    </sheetView>
  </sheetViews>
  <sheetFormatPr baseColWidth="10" defaultRowHeight="16" x14ac:dyDescent="0.2"/>
  <cols>
    <col min="2" max="2" width="82" bestFit="1" customWidth="1"/>
  </cols>
  <sheetData>
    <row r="2" spans="2:4" x14ac:dyDescent="0.2">
      <c r="B2" s="93" t="s">
        <v>410</v>
      </c>
      <c r="C2" s="94" t="s">
        <v>411</v>
      </c>
    </row>
    <row r="3" spans="2:4" x14ac:dyDescent="0.2">
      <c r="B3" s="93" t="s">
        <v>412</v>
      </c>
      <c r="C3" s="94" t="s">
        <v>476</v>
      </c>
      <c r="D3" s="94"/>
    </row>
    <row r="4" spans="2:4" x14ac:dyDescent="0.2">
      <c r="B4" s="93" t="s">
        <v>437</v>
      </c>
      <c r="C4" s="94" t="s">
        <v>564</v>
      </c>
      <c r="D4" s="94"/>
    </row>
    <row r="5" spans="2:4" x14ac:dyDescent="0.2">
      <c r="B5" s="93" t="s">
        <v>438</v>
      </c>
      <c r="C5" s="94" t="s">
        <v>564</v>
      </c>
      <c r="D5" s="94"/>
    </row>
    <row r="6" spans="2:4" x14ac:dyDescent="0.2">
      <c r="B6" s="93" t="s">
        <v>439</v>
      </c>
      <c r="C6" s="94" t="s">
        <v>564</v>
      </c>
      <c r="D6" s="94"/>
    </row>
    <row r="7" spans="2:4" x14ac:dyDescent="0.2">
      <c r="B7" s="93" t="s">
        <v>462</v>
      </c>
      <c r="C7" s="94" t="s">
        <v>565</v>
      </c>
      <c r="D7" s="94"/>
    </row>
    <row r="8" spans="2:4" x14ac:dyDescent="0.2">
      <c r="B8" s="93" t="s">
        <v>441</v>
      </c>
      <c r="C8" s="94" t="s">
        <v>566</v>
      </c>
      <c r="D8" s="94"/>
    </row>
    <row r="9" spans="2:4" x14ac:dyDescent="0.2">
      <c r="B9" s="93" t="s">
        <v>442</v>
      </c>
      <c r="C9" s="94" t="s">
        <v>567</v>
      </c>
      <c r="D9" s="94"/>
    </row>
    <row r="10" spans="2:4" x14ac:dyDescent="0.2">
      <c r="B10" s="93" t="s">
        <v>444</v>
      </c>
      <c r="C10" s="94" t="s">
        <v>842</v>
      </c>
      <c r="D10" s="94"/>
    </row>
    <row r="11" spans="2:4" x14ac:dyDescent="0.2">
      <c r="B11" s="93" t="s">
        <v>462</v>
      </c>
      <c r="C11" s="94" t="s">
        <v>843</v>
      </c>
      <c r="D11" s="94"/>
    </row>
    <row r="12" spans="2:4" x14ac:dyDescent="0.2">
      <c r="B12" s="93" t="s">
        <v>445</v>
      </c>
      <c r="C12" s="94" t="s">
        <v>844</v>
      </c>
      <c r="D12" s="94"/>
    </row>
    <row r="13" spans="2:4" x14ac:dyDescent="0.2">
      <c r="B13" s="93" t="s">
        <v>446</v>
      </c>
      <c r="C13" s="94" t="s">
        <v>845</v>
      </c>
      <c r="D13" s="94"/>
    </row>
    <row r="14" spans="2:4" x14ac:dyDescent="0.2">
      <c r="B14" s="93" t="s">
        <v>612</v>
      </c>
      <c r="C14" s="94" t="s">
        <v>846</v>
      </c>
      <c r="D14" s="94"/>
    </row>
    <row r="15" spans="2:4" x14ac:dyDescent="0.2">
      <c r="B15" s="93" t="s">
        <v>448</v>
      </c>
      <c r="C15" s="94" t="s">
        <v>847</v>
      </c>
      <c r="D15" s="94"/>
    </row>
    <row r="16" spans="2:4" x14ac:dyDescent="0.2">
      <c r="B16" s="93" t="s">
        <v>449</v>
      </c>
      <c r="C16" s="94" t="s">
        <v>747</v>
      </c>
      <c r="D16" s="94"/>
    </row>
    <row r="17" spans="2:5" x14ac:dyDescent="0.2">
      <c r="B17" s="93" t="s">
        <v>468</v>
      </c>
      <c r="C17" s="94" t="s">
        <v>848</v>
      </c>
      <c r="D17" s="94"/>
    </row>
    <row r="18" spans="2:5" x14ac:dyDescent="0.2">
      <c r="B18" s="93" t="s">
        <v>451</v>
      </c>
      <c r="C18" s="94" t="s">
        <v>849</v>
      </c>
      <c r="D18" s="94"/>
    </row>
    <row r="19" spans="2:5" x14ac:dyDescent="0.2">
      <c r="B19" s="93" t="s">
        <v>469</v>
      </c>
      <c r="C19" s="94" t="s">
        <v>850</v>
      </c>
      <c r="D19" s="94"/>
    </row>
    <row r="20" spans="2:5" x14ac:dyDescent="0.2">
      <c r="B20" s="93" t="s">
        <v>453</v>
      </c>
      <c r="C20" s="94" t="s">
        <v>851</v>
      </c>
      <c r="D20" s="94"/>
    </row>
    <row r="21" spans="2:5" x14ac:dyDescent="0.2">
      <c r="B21" s="93" t="s">
        <v>470</v>
      </c>
      <c r="C21" s="94" t="s">
        <v>852</v>
      </c>
      <c r="D21" s="94"/>
    </row>
    <row r="22" spans="2:5" x14ac:dyDescent="0.2">
      <c r="B22" s="93" t="s">
        <v>455</v>
      </c>
      <c r="C22" s="94" t="s">
        <v>853</v>
      </c>
      <c r="D22" s="94"/>
    </row>
    <row r="23" spans="2:5" x14ac:dyDescent="0.2">
      <c r="B23" s="93" t="s">
        <v>418</v>
      </c>
      <c r="C23" s="94" t="s">
        <v>736</v>
      </c>
      <c r="D23" s="94"/>
      <c r="E23" s="103"/>
    </row>
    <row r="24" spans="2:5" x14ac:dyDescent="0.2">
      <c r="B24" s="93" t="s">
        <v>456</v>
      </c>
      <c r="C24" s="94" t="s">
        <v>736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D5C30-4C7C-DA4F-94B9-7A1DFA8A372D}">
  <sheetPr>
    <tabColor theme="4"/>
  </sheetPr>
  <dimension ref="B3:I26"/>
  <sheetViews>
    <sheetView workbookViewId="0">
      <selection activeCell="B21" sqref="B21:E21"/>
    </sheetView>
  </sheetViews>
  <sheetFormatPr baseColWidth="10" defaultRowHeight="16" x14ac:dyDescent="0.2"/>
  <cols>
    <col min="2" max="2" width="82" bestFit="1" customWidth="1"/>
  </cols>
  <sheetData>
    <row r="3" spans="2:9" x14ac:dyDescent="0.2">
      <c r="B3" s="93" t="s">
        <v>410</v>
      </c>
      <c r="C3" s="94" t="s">
        <v>411</v>
      </c>
    </row>
    <row r="4" spans="2:9" x14ac:dyDescent="0.2">
      <c r="B4" s="93" t="s">
        <v>412</v>
      </c>
      <c r="C4" s="94" t="s">
        <v>476</v>
      </c>
      <c r="D4" s="94"/>
    </row>
    <row r="5" spans="2:9" x14ac:dyDescent="0.2">
      <c r="B5" s="93" t="s">
        <v>437</v>
      </c>
      <c r="C5" s="94" t="s">
        <v>857</v>
      </c>
      <c r="D5" s="94"/>
    </row>
    <row r="6" spans="2:9" x14ac:dyDescent="0.2">
      <c r="B6" s="93" t="s">
        <v>438</v>
      </c>
      <c r="C6" s="94" t="s">
        <v>857</v>
      </c>
      <c r="D6" s="94"/>
    </row>
    <row r="7" spans="2:9" x14ac:dyDescent="0.2">
      <c r="B7" s="93" t="s">
        <v>439</v>
      </c>
      <c r="C7" s="94" t="s">
        <v>857</v>
      </c>
      <c r="D7" s="94"/>
    </row>
    <row r="8" spans="2:9" x14ac:dyDescent="0.2">
      <c r="B8" s="93" t="s">
        <v>462</v>
      </c>
      <c r="C8" s="94" t="s">
        <v>858</v>
      </c>
      <c r="D8" s="94"/>
    </row>
    <row r="9" spans="2:9" x14ac:dyDescent="0.2">
      <c r="B9" s="93" t="s">
        <v>441</v>
      </c>
      <c r="C9" s="94" t="s">
        <v>859</v>
      </c>
      <c r="D9" s="94"/>
    </row>
    <row r="10" spans="2:9" x14ac:dyDescent="0.2">
      <c r="B10" s="93" t="s">
        <v>578</v>
      </c>
      <c r="C10" s="94" t="s">
        <v>859</v>
      </c>
      <c r="D10" s="94"/>
    </row>
    <row r="11" spans="2:9" x14ac:dyDescent="0.2">
      <c r="B11" s="93" t="s">
        <v>442</v>
      </c>
      <c r="C11" s="94" t="s">
        <v>860</v>
      </c>
      <c r="D11" s="94"/>
    </row>
    <row r="12" spans="2:9" x14ac:dyDescent="0.2">
      <c r="B12" s="93" t="s">
        <v>444</v>
      </c>
      <c r="C12" s="94" t="s">
        <v>861</v>
      </c>
      <c r="D12" s="94"/>
    </row>
    <row r="13" spans="2:9" x14ac:dyDescent="0.2">
      <c r="B13" s="93" t="s">
        <v>462</v>
      </c>
      <c r="C13" s="94" t="s">
        <v>862</v>
      </c>
      <c r="D13" s="94"/>
    </row>
    <row r="14" spans="2:9" x14ac:dyDescent="0.2">
      <c r="B14" s="93" t="s">
        <v>445</v>
      </c>
      <c r="C14" s="94" t="s">
        <v>863</v>
      </c>
      <c r="D14" s="94"/>
    </row>
    <row r="15" spans="2:9" x14ac:dyDescent="0.2">
      <c r="B15" s="93" t="s">
        <v>446</v>
      </c>
      <c r="C15" s="94" t="s">
        <v>864</v>
      </c>
      <c r="D15" s="94"/>
    </row>
    <row r="16" spans="2:9" x14ac:dyDescent="0.2">
      <c r="B16" s="93" t="s">
        <v>612</v>
      </c>
      <c r="C16" s="94" t="s">
        <v>865</v>
      </c>
      <c r="D16" s="94"/>
      <c r="E16" s="103"/>
      <c r="F16" s="103"/>
      <c r="G16" s="103"/>
      <c r="H16" s="103"/>
      <c r="I16" s="103"/>
    </row>
    <row r="17" spans="2:4" x14ac:dyDescent="0.2">
      <c r="B17" s="93" t="s">
        <v>448</v>
      </c>
      <c r="C17" s="94" t="s">
        <v>866</v>
      </c>
      <c r="D17" s="94"/>
    </row>
    <row r="18" spans="2:4" x14ac:dyDescent="0.2">
      <c r="B18" s="93" t="s">
        <v>449</v>
      </c>
      <c r="C18" s="94" t="s">
        <v>867</v>
      </c>
      <c r="D18" s="94"/>
    </row>
    <row r="19" spans="2:4" x14ac:dyDescent="0.2">
      <c r="B19" s="93" t="s">
        <v>468</v>
      </c>
      <c r="C19" s="94" t="s">
        <v>868</v>
      </c>
      <c r="D19" s="94"/>
    </row>
    <row r="20" spans="2:4" x14ac:dyDescent="0.2">
      <c r="B20" s="93" t="s">
        <v>451</v>
      </c>
      <c r="C20" s="94" t="s">
        <v>869</v>
      </c>
      <c r="D20" s="94"/>
    </row>
    <row r="21" spans="2:4" x14ac:dyDescent="0.2">
      <c r="B21" s="93" t="s">
        <v>469</v>
      </c>
      <c r="C21" s="94" t="s">
        <v>870</v>
      </c>
      <c r="D21" s="94"/>
    </row>
    <row r="22" spans="2:4" x14ac:dyDescent="0.2">
      <c r="B22" s="93" t="s">
        <v>453</v>
      </c>
      <c r="C22" s="94" t="s">
        <v>871</v>
      </c>
      <c r="D22" s="94"/>
    </row>
    <row r="23" spans="2:4" x14ac:dyDescent="0.2">
      <c r="B23" s="93" t="s">
        <v>470</v>
      </c>
      <c r="C23" s="94" t="s">
        <v>872</v>
      </c>
      <c r="D23" s="94"/>
    </row>
    <row r="24" spans="2:4" x14ac:dyDescent="0.2">
      <c r="B24" s="93" t="s">
        <v>455</v>
      </c>
      <c r="C24" s="94" t="s">
        <v>873</v>
      </c>
      <c r="D24" s="94"/>
    </row>
    <row r="25" spans="2:4" x14ac:dyDescent="0.2">
      <c r="B25" s="93" t="s">
        <v>418</v>
      </c>
      <c r="C25" s="94" t="s">
        <v>874</v>
      </c>
      <c r="D25" s="94"/>
    </row>
    <row r="26" spans="2:4" x14ac:dyDescent="0.2">
      <c r="B26" s="93" t="s">
        <v>456</v>
      </c>
      <c r="C26" s="94" t="s">
        <v>875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9C6C2-AFC6-994E-92BE-4703982695F3}">
  <sheetPr>
    <tabColor theme="4"/>
  </sheetPr>
  <dimension ref="B3:I25"/>
  <sheetViews>
    <sheetView workbookViewId="0">
      <selection activeCell="A16" sqref="A16:XFD17"/>
    </sheetView>
  </sheetViews>
  <sheetFormatPr baseColWidth="10" defaultRowHeight="16" x14ac:dyDescent="0.2"/>
  <cols>
    <col min="2" max="2" width="82" bestFit="1" customWidth="1"/>
  </cols>
  <sheetData>
    <row r="3" spans="2:9" x14ac:dyDescent="0.2">
      <c r="B3" s="93" t="s">
        <v>410</v>
      </c>
      <c r="C3" s="94" t="s">
        <v>411</v>
      </c>
    </row>
    <row r="4" spans="2:9" x14ac:dyDescent="0.2">
      <c r="B4" s="93" t="s">
        <v>412</v>
      </c>
      <c r="C4" s="94" t="s">
        <v>476</v>
      </c>
      <c r="D4" s="94"/>
    </row>
    <row r="5" spans="2:9" x14ac:dyDescent="0.2">
      <c r="B5" s="93" t="s">
        <v>437</v>
      </c>
      <c r="C5" s="94" t="s">
        <v>759</v>
      </c>
      <c r="D5" s="94"/>
    </row>
    <row r="6" spans="2:9" x14ac:dyDescent="0.2">
      <c r="B6" s="93" t="s">
        <v>438</v>
      </c>
      <c r="C6" s="94" t="s">
        <v>759</v>
      </c>
      <c r="D6" s="94"/>
    </row>
    <row r="7" spans="2:9" x14ac:dyDescent="0.2">
      <c r="B7" s="93" t="s">
        <v>439</v>
      </c>
      <c r="C7" s="94" t="s">
        <v>759</v>
      </c>
      <c r="D7" s="94"/>
    </row>
    <row r="8" spans="2:9" x14ac:dyDescent="0.2">
      <c r="B8" s="93" t="s">
        <v>462</v>
      </c>
      <c r="C8" s="94" t="s">
        <v>879</v>
      </c>
      <c r="D8" s="94"/>
    </row>
    <row r="9" spans="2:9" x14ac:dyDescent="0.2">
      <c r="B9" s="93" t="s">
        <v>441</v>
      </c>
      <c r="C9" s="94" t="s">
        <v>849</v>
      </c>
      <c r="D9" s="94"/>
    </row>
    <row r="10" spans="2:9" x14ac:dyDescent="0.2">
      <c r="B10" s="93" t="s">
        <v>442</v>
      </c>
      <c r="C10" s="94" t="s">
        <v>749</v>
      </c>
      <c r="D10" s="94"/>
    </row>
    <row r="11" spans="2:9" x14ac:dyDescent="0.2">
      <c r="B11" s="93" t="s">
        <v>444</v>
      </c>
      <c r="C11" s="94" t="s">
        <v>777</v>
      </c>
      <c r="D11" s="94"/>
    </row>
    <row r="12" spans="2:9" x14ac:dyDescent="0.2">
      <c r="B12" s="93" t="s">
        <v>462</v>
      </c>
      <c r="C12" s="94" t="s">
        <v>880</v>
      </c>
      <c r="D12" s="94"/>
    </row>
    <row r="13" spans="2:9" x14ac:dyDescent="0.2">
      <c r="B13" s="93" t="s">
        <v>445</v>
      </c>
      <c r="C13" s="94" t="s">
        <v>881</v>
      </c>
      <c r="D13" s="94"/>
      <c r="E13" s="103"/>
      <c r="F13" s="103"/>
      <c r="G13" s="103"/>
      <c r="H13" s="103"/>
      <c r="I13" s="103"/>
    </row>
    <row r="14" spans="2:9" x14ac:dyDescent="0.2">
      <c r="B14" s="93" t="s">
        <v>446</v>
      </c>
      <c r="C14" s="94" t="s">
        <v>733</v>
      </c>
      <c r="D14" s="94"/>
    </row>
    <row r="15" spans="2:9" x14ac:dyDescent="0.2">
      <c r="B15" s="93" t="s">
        <v>612</v>
      </c>
      <c r="C15" s="94" t="s">
        <v>882</v>
      </c>
      <c r="D15" s="94"/>
    </row>
    <row r="16" spans="2:9" s="103" customFormat="1" ht="17" customHeight="1" x14ac:dyDescent="0.2">
      <c r="B16" s="101" t="s">
        <v>448</v>
      </c>
      <c r="C16" s="102" t="s">
        <v>883</v>
      </c>
      <c r="D16" s="102"/>
    </row>
    <row r="17" spans="2:4" s="103" customFormat="1" x14ac:dyDescent="0.2">
      <c r="B17" s="101" t="s">
        <v>449</v>
      </c>
      <c r="C17" s="102" t="s">
        <v>798</v>
      </c>
      <c r="D17" s="102"/>
    </row>
    <row r="18" spans="2:4" x14ac:dyDescent="0.2">
      <c r="B18" s="93" t="s">
        <v>468</v>
      </c>
      <c r="C18" s="94" t="s">
        <v>884</v>
      </c>
      <c r="D18" s="94"/>
    </row>
    <row r="19" spans="2:4" x14ac:dyDescent="0.2">
      <c r="B19" s="93" t="s">
        <v>451</v>
      </c>
      <c r="C19" s="94" t="s">
        <v>885</v>
      </c>
      <c r="D19" s="94"/>
    </row>
    <row r="20" spans="2:4" x14ac:dyDescent="0.2">
      <c r="B20" s="93" t="s">
        <v>469</v>
      </c>
      <c r="C20" s="94" t="s">
        <v>886</v>
      </c>
      <c r="D20" s="94"/>
    </row>
    <row r="21" spans="2:4" x14ac:dyDescent="0.2">
      <c r="B21" s="93" t="s">
        <v>453</v>
      </c>
      <c r="C21" s="94" t="s">
        <v>887</v>
      </c>
      <c r="D21" s="94"/>
    </row>
    <row r="22" spans="2:4" x14ac:dyDescent="0.2">
      <c r="B22" s="93" t="s">
        <v>470</v>
      </c>
      <c r="C22" s="94" t="s">
        <v>888</v>
      </c>
      <c r="D22" s="94"/>
    </row>
    <row r="23" spans="2:4" x14ac:dyDescent="0.2">
      <c r="B23" s="93" t="s">
        <v>455</v>
      </c>
      <c r="C23" s="94" t="s">
        <v>889</v>
      </c>
      <c r="D23" s="94"/>
    </row>
    <row r="24" spans="2:4" x14ac:dyDescent="0.2">
      <c r="B24" s="93" t="s">
        <v>418</v>
      </c>
      <c r="C24" s="94" t="s">
        <v>890</v>
      </c>
      <c r="D24" s="94"/>
    </row>
    <row r="25" spans="2:4" x14ac:dyDescent="0.2">
      <c r="B25" s="93" t="s">
        <v>456</v>
      </c>
      <c r="C25" s="94" t="s">
        <v>891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23</vt:i4>
      </vt:variant>
      <vt:variant>
        <vt:lpstr>Rangos con nombre</vt:lpstr>
      </vt:variant>
      <vt:variant>
        <vt:i4>1</vt:i4>
      </vt:variant>
    </vt:vector>
  </HeadingPairs>
  <TitlesOfParts>
    <vt:vector size="24" baseType="lpstr">
      <vt:lpstr>Hoja1</vt:lpstr>
      <vt:lpstr>PUBLICADOS Y VENCIDOS</vt:lpstr>
      <vt:lpstr>Publicados Emprestitos</vt:lpstr>
      <vt:lpstr>Publicados Emprestitos nuevo</vt:lpstr>
      <vt:lpstr>Organismos</vt:lpstr>
      <vt:lpstr>Publicados Emprestitos-1</vt:lpstr>
      <vt:lpstr>Cultura 18889</vt:lpstr>
      <vt:lpstr>Cultura 18890</vt:lpstr>
      <vt:lpstr>DATIC 18933</vt:lpstr>
      <vt:lpstr>DATIC 18946</vt:lpstr>
      <vt:lpstr>DATIC 18918</vt:lpstr>
      <vt:lpstr>DEPORTE 18996</vt:lpstr>
      <vt:lpstr>DEPORTE 19000</vt:lpstr>
      <vt:lpstr>DEPORTE 18998</vt:lpstr>
      <vt:lpstr>Infraestructura 19143</vt:lpstr>
      <vt:lpstr>Infraestructura 18472</vt:lpstr>
      <vt:lpstr>Infraestructura 18978</vt:lpstr>
      <vt:lpstr>Infraestructura 19194</vt:lpstr>
      <vt:lpstr>Infraestructura 18984</vt:lpstr>
      <vt:lpstr>Participacion 18986</vt:lpstr>
      <vt:lpstr>Participacion 18970</vt:lpstr>
      <vt:lpstr>Participacion 19383</vt:lpstr>
      <vt:lpstr>Educacion 18910</vt:lpstr>
      <vt:lpstr>'PUBLICADOS Y VENCIDOS'!Área_de_impresión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2025-08-20T19:47:14Z</dcterms:created>
  <dcterms:modified xsi:type="dcterms:W3CDTF">2025-09-03T19:36:34Z</dcterms:modified>
</cp:coreProperties>
</file>